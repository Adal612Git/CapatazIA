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_Summary" sheetId="3" state="visible" r:id="rId3"/>
    <sheet xmlns:r="http://schemas.openxmlformats.org/officeDocument/2006/relationships" name="Release_Roadmap" sheetId="4" state="visible" r:id="rId4"/>
    <sheet xmlns:r="http://schemas.openxmlformats.org/officeDocument/2006/relationships" name="Product_Backlog" sheetId="5" state="visible" r:id="rId5"/>
    <sheet xmlns:r="http://schemas.openxmlformats.org/officeDocument/2006/relationships" name="Sprint_0" sheetId="6" state="visible" r:id="rId6"/>
    <sheet xmlns:r="http://schemas.openxmlformats.org/officeDocument/2006/relationships" name="Sprint_1" sheetId="7" state="visible" r:id="rId7"/>
    <sheet xmlns:r="http://schemas.openxmlformats.org/officeDocument/2006/relationships" name="Sprint_2" sheetId="8" state="visible" r:id="rId8"/>
    <sheet xmlns:r="http://schemas.openxmlformats.org/officeDocument/2006/relationships" name="Capacity" sheetId="9" state="visible" r:id="rId9"/>
    <sheet xmlns:r="http://schemas.openxmlformats.org/officeDocument/2006/relationships" name="RAID" sheetId="10" state="visible" r:id="rId10"/>
    <sheet xmlns:r="http://schemas.openxmlformats.org/officeDocument/2006/relationships" name="DoR_DoD" sheetId="11" state="visible" r:id="rId11"/>
    <sheet xmlns:r="http://schemas.openxmlformats.org/officeDocument/2006/relationships" name="Ceremonies" sheetId="12" state="visible" r:id="rId12"/>
    <sheet xmlns:r="http://schemas.openxmlformats.org/officeDocument/2006/relationships" name="PDF_Artifac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&quot;%&quot;"/>
  </numFmts>
  <fonts count="1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5"/>
    </font>
    <font>
      <i val="1"/>
      <color rgb="0064748B"/>
    </font>
    <font>
      <b val="1"/>
      <color rgb="00FFFFFF"/>
    </font>
    <font>
      <b val="1"/>
      <sz val="16"/>
    </font>
    <font>
      <b val="1"/>
      <color rgb="00FFFFFF"/>
      <sz val="12"/>
    </font>
    <font>
      <b val="1"/>
      <color rgb="001D4ED8"/>
    </font>
    <font>
      <b val="1"/>
      <color rgb="00000000"/>
      <sz val="12"/>
    </font>
    <font>
      <b val="1"/>
      <color rgb="00B91C1C"/>
    </font>
    <font>
      <b val="1"/>
      <color rgb="00C2410C"/>
    </font>
    <font>
      <b val="1"/>
      <color rgb="0064748B"/>
    </font>
    <font>
      <b val="1"/>
      <color rgb="000F766E"/>
    </font>
    <font>
      <b val="1"/>
      <color rgb="006D28D9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1D4ED8"/>
      </patternFill>
    </fill>
    <fill>
      <patternFill patternType="solid">
        <fgColor rgb="00B91C1C"/>
      </patternFill>
    </fill>
    <fill>
      <patternFill patternType="solid">
        <fgColor rgb="0015803D"/>
      </patternFill>
    </fill>
    <fill>
      <patternFill patternType="solid">
        <fgColor rgb="006D28D9"/>
      </patternFill>
    </fill>
    <fill>
      <patternFill patternType="solid">
        <fgColor rgb="00C2410C"/>
      </patternFill>
    </fill>
    <fill>
      <patternFill patternType="solid">
        <fgColor rgb="00E2E8F0"/>
      </patternFill>
    </fill>
    <fill>
      <patternFill patternType="solid">
        <fgColor rgb="00FEF3C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6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0" fontId="1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FFF7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Backlog base derivado de la propuesta ejecutiva-técnica TPC v3.0 subida por el usuario.</t>
      </text>
    </comment>
  </commentList>
</comments>
</file>

<file path=xl/tables/table1.xml><?xml version="1.0" encoding="utf-8"?>
<table xmlns="http://schemas.openxmlformats.org/spreadsheetml/2006/main" id="1" name="tblRoadmap" displayName="tblRoadmap" ref="A1:G6" headerRowCount="1">
  <autoFilter ref="A1:G6"/>
  <tableColumns count="7">
    <tableColumn id="1" name="Horizonte"/>
    <tableColumn id="2" name="Inicio"/>
    <tableColumn id="3" name="Fin"/>
    <tableColumn id="4" name="Objetivo"/>
    <tableColumn id="5" name="Entregable"/>
    <tableColumn id="6" name="Exit criteria"/>
    <tableColumn id="7" name="Dependencias crític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Backlog" displayName="tblBacklog" ref="A1:N71" headerRowCount="1">
  <autoFilter ref="A1:N71"/>
  <tableColumns count="14">
    <tableColumn id="1" name="ID"/>
    <tableColumn id="2" name="Epic"/>
    <tableColumn id="3" name="Feature"/>
    <tableColumn id="4" name="Type"/>
    <tableColumn id="5" name="User story"/>
    <tableColumn id="6" name="Acceptance criteria"/>
    <tableColumn id="7" name="Priority"/>
    <tableColumn id="8" name="SP"/>
    <tableColumn id="9" name="Dependencies"/>
    <tableColumn id="10" name="Target sprint"/>
    <tableColumn id="11" name="Owner"/>
    <tableColumn id="12" name="Status"/>
    <tableColumn id="13" name="Risk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pacity" displayName="tblCapacity" ref="A1:G8" headerRowCount="1">
  <autoFilter ref="A1:G8"/>
  <tableColumns count="7">
    <tableColumn id="1" name="Rol"/>
    <tableColumn id="2" name="Persona"/>
    <tableColumn id="3" name="Sprint 0 %"/>
    <tableColumn id="4" name="Sprint 1 %"/>
    <tableColumn id="5" name="Sprint 2 %"/>
    <tableColumn id="6" name="Capacidad pts/sprint"/>
    <tableColumn id="7" name="Not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AID" displayName="tblRAID" ref="A1:I9" headerRowCount="1">
  <autoFilter ref="A1:I9"/>
  <tableColumns count="9">
    <tableColumn id="1" name="ID"/>
    <tableColumn id="2" name="Tipo"/>
    <tableColumn id="3" name="Tema"/>
    <tableColumn id="4" name="Descripción"/>
    <tableColumn id="5" name="Impacto"/>
    <tableColumn id="6" name="Probabilidad"/>
    <tableColumn id="7" name="Owner"/>
    <tableColumn id="8" name="Mitigación"/>
    <tableColumn id="9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remonies" displayName="tblCeremonies" ref="A1:F7" headerRowCount="1">
  <autoFilter ref="A1:F7"/>
  <tableColumns count="6">
    <tableColumn id="1" name="Ceremonia"/>
    <tableColumn id="2" name="Frecuencia"/>
    <tableColumn id="3" name="Duración"/>
    <tableColumn id="4" name="Participantes"/>
    <tableColumn id="5" name="Objetivo"/>
    <tableColumn id="6" name="Outpu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DFs" displayName="tblPDFs" ref="A1:F10" headerRowCount="1">
  <autoFilter ref="A1:F10"/>
  <tableColumns count="6">
    <tableColumn id="1" name="Orden"/>
    <tableColumn id="2" name="Artefacto PDF"/>
    <tableColumn id="3" name="Objetivo"/>
    <tableColumn id="4" name="Contenido mínimo"/>
    <tableColumn id="5" name="Owner sugerido"/>
    <tableColumn id="6" name="Mo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42" customWidth="1" min="4" max="4"/>
    <col width="10" customWidth="1" min="5" max="5"/>
    <col width="42" customWidth="1" min="6" max="6"/>
    <col width="10" customWidth="1" min="7" max="7"/>
    <col width="42" customWidth="1" min="8" max="8"/>
  </cols>
  <sheetData>
    <row r="1" ht="24" customHeight="1">
      <c r="A1" s="1" t="inlineStr">
        <is>
          <t>TPC / Terrain Private Client</t>
        </is>
      </c>
    </row>
    <row r="2" ht="24" customHeight="1">
      <c r="A2" s="2" t="inlineStr">
        <is>
          <t>Planeación SCRUM ultra detallada</t>
        </is>
      </c>
    </row>
    <row r="3" ht="24" customHeight="1">
      <c r="A3" s="3" t="inlineStr">
        <is>
          <t>Base inicial para Sprint 0, Sprint 1 y Sprint 2</t>
        </is>
      </c>
    </row>
    <row r="4" ht="24" customHeight="1"/>
    <row r="5" ht="24" customHeight="1">
      <c r="B5" s="4" t="inlineStr">
        <is>
          <t>Total backlog items</t>
        </is>
      </c>
      <c r="D5" s="5" t="inlineStr">
        <is>
          <t>Story points totales</t>
        </is>
      </c>
      <c r="F5" s="6" t="inlineStr">
        <is>
          <t>Items críticos</t>
        </is>
      </c>
      <c r="H5" s="7" t="inlineStr">
        <is>
          <t>Items Sprint 1</t>
        </is>
      </c>
    </row>
    <row r="6" ht="24" customHeight="1">
      <c r="B6" s="8">
        <f>COUNTA(Product_Backlog!A2:A999)</f>
        <v/>
      </c>
      <c r="D6" s="8">
        <f>SUM(Product_Backlog!H2:H999)</f>
        <v/>
      </c>
      <c r="F6" s="8">
        <f>COUNTIF(Product_Backlog!G2:G999,"Critical")</f>
        <v/>
      </c>
      <c r="H6" s="8">
        <f>COUNTIF(Product_Backlog!J2:J999,"Sprint 1")</f>
        <v/>
      </c>
    </row>
    <row r="7" ht="24" customHeight="1"/>
    <row r="8" ht="24" customHeight="1">
      <c r="B8" s="9" t="inlineStr">
        <is>
          <t>SP Sprint 0</t>
        </is>
      </c>
      <c r="D8" s="5" t="inlineStr">
        <is>
          <t>SP Sprint 1</t>
        </is>
      </c>
      <c r="F8" s="7" t="inlineStr">
        <is>
          <t>SP Sprint 2</t>
        </is>
      </c>
      <c r="H8" s="10" t="inlineStr">
        <is>
          <t>Riesgos altos</t>
        </is>
      </c>
    </row>
    <row r="9" ht="24" customHeight="1">
      <c r="B9" s="8">
        <f>SUMIF(Product_Backlog!J2:J999,"Sprint 0",Product_Backlog!H2:H999)</f>
        <v/>
      </c>
      <c r="D9" s="8">
        <f>SUMIF(Product_Backlog!J2:J999,"Sprint 1",Product_Backlog!H2:H999)</f>
        <v/>
      </c>
      <c r="F9" s="8">
        <f>SUMIF(Product_Backlog!J2:J999,"Sprint 2",Product_Backlog!H2:H999)</f>
        <v/>
      </c>
      <c r="H9" s="8">
        <f>COUNTIF(Product_Backlog!M2:M999,"High")</f>
        <v/>
      </c>
    </row>
    <row r="10" ht="24" customHeight="1"/>
    <row r="11" ht="24" customHeight="1"/>
    <row r="12" ht="24" customHeight="1">
      <c r="A12" s="11" t="inlineStr">
        <is>
          <t>Resumen</t>
        </is>
      </c>
      <c r="B12" s="12" t="n"/>
      <c r="C12" s="12" t="n"/>
      <c r="D12" s="12" t="n"/>
      <c r="E12" s="12" t="n"/>
      <c r="F12" s="12" t="n"/>
      <c r="G12" s="12" t="n"/>
      <c r="H12" s="13" t="n"/>
    </row>
    <row r="13" ht="24" customHeight="1">
      <c r="A13" s="14" t="inlineStr">
        <is>
          <t>Release goal</t>
        </is>
      </c>
      <c r="B13" s="15" t="inlineStr">
        <is>
          <t>Validar una interfaz ejecutiva que unifica wallet, patrimonio, approvals y ejecución operativa desde WhatsApp.</t>
        </is>
      </c>
      <c r="C13" s="15" t="n"/>
      <c r="D13" s="15" t="n"/>
      <c r="E13" s="15" t="n"/>
      <c r="F13" s="15" t="n"/>
      <c r="G13" s="15" t="n"/>
      <c r="H13" s="15" t="n"/>
    </row>
    <row r="14" ht="24" customHeight="1">
      <c r="A14" s="14" t="inlineStr">
        <is>
          <t>Demo mantra</t>
        </is>
      </c>
      <c r="B14" s="15" t="inlineStr">
        <is>
          <t>No 40 pantallas huecas. Sí 6 flujos MVP con narrativa, riesgo controlado y trazabilidad.</t>
        </is>
      </c>
      <c r="C14" s="15" t="n"/>
      <c r="D14" s="15" t="n"/>
      <c r="E14" s="15" t="n"/>
      <c r="F14" s="15" t="n"/>
      <c r="G14" s="15" t="n"/>
      <c r="H14" s="15" t="n"/>
    </row>
    <row r="15" ht="24" customHeight="1">
      <c r="A15" s="14" t="inlineStr">
        <is>
          <t>Riesgo mayor</t>
        </is>
      </c>
      <c r="B15" s="15" t="inlineStr">
        <is>
          <t>Compliance/regulación y claims comerciales mal planteados.</t>
        </is>
      </c>
      <c r="C15" s="15" t="n"/>
      <c r="D15" s="15" t="n"/>
      <c r="E15" s="15" t="n"/>
      <c r="F15" s="15" t="n"/>
      <c r="G15" s="15" t="n"/>
      <c r="H15" s="15" t="n"/>
    </row>
    <row r="16" ht="24" customHeight="1">
      <c r="A16" s="14" t="inlineStr">
        <is>
          <t>Ruta</t>
        </is>
      </c>
      <c r="B16" s="15" t="inlineStr">
        <is>
          <t>Sprint 0 aterriza. Sprint 1 hace vivible el producto. Sprint 2 lo deja listo para piloto.</t>
        </is>
      </c>
      <c r="C16" s="15" t="n"/>
      <c r="D16" s="15" t="n"/>
      <c r="E16" s="15" t="n"/>
      <c r="F16" s="15" t="n"/>
      <c r="G16" s="15" t="n"/>
      <c r="H16" s="15" t="n"/>
    </row>
    <row r="17" ht="24" customHeight="1"/>
    <row r="18" ht="24" customHeight="1">
      <c r="A18" s="16" t="inlineStr">
        <is>
          <t>Artefactos siguientes</t>
        </is>
      </c>
      <c r="B18" s="12" t="n"/>
      <c r="C18" s="12" t="n"/>
      <c r="D18" s="12" t="n"/>
      <c r="E18" s="12" t="n"/>
      <c r="F18" s="12" t="n"/>
      <c r="G18" s="12" t="n"/>
      <c r="H18" s="13" t="n"/>
    </row>
    <row r="19" ht="24" customHeight="1">
      <c r="A19" s="17" t="inlineStr">
        <is>
          <t>PRD ejecutivo-técnico</t>
        </is>
      </c>
      <c r="B19" s="17" t="inlineStr">
        <is>
          <t>Cerrar alcance funcional y operacional</t>
        </is>
      </c>
      <c r="C19" s="17" t="n"/>
      <c r="D19" s="17" t="n"/>
      <c r="E19" s="17" t="n"/>
      <c r="F19" s="17" t="n"/>
      <c r="G19" s="17" t="n"/>
      <c r="H19" s="17" t="n"/>
    </row>
    <row r="20" ht="24" customHeight="1">
      <c r="A20" s="17" t="inlineStr">
        <is>
          <t>Arquitectura funcional + técnica</t>
        </is>
      </c>
      <c r="B20" s="17" t="inlineStr">
        <is>
          <t>Capas, dominios, integraciones y tradeoffs</t>
        </is>
      </c>
      <c r="C20" s="17" t="n"/>
      <c r="D20" s="17" t="n"/>
      <c r="E20" s="17" t="n"/>
      <c r="F20" s="17" t="n"/>
      <c r="G20" s="17" t="n"/>
      <c r="H20" s="17" t="n"/>
    </row>
    <row r="21" ht="24" customHeight="1">
      <c r="A21" s="17" t="inlineStr">
        <is>
          <t>API / contratos</t>
        </is>
      </c>
      <c r="B21" s="17" t="inlineStr">
        <is>
          <t>Endpoints, payloads y errores</t>
        </is>
      </c>
      <c r="C21" s="17" t="n"/>
      <c r="D21" s="17" t="n"/>
      <c r="E21" s="17" t="n"/>
      <c r="F21" s="17" t="n"/>
      <c r="G21" s="17" t="n"/>
      <c r="H21" s="17" t="n"/>
    </row>
    <row r="22" ht="24" customHeight="1">
      <c r="A22" s="17" t="inlineStr">
        <is>
          <t>UX flows / wireflows</t>
        </is>
      </c>
      <c r="B22" s="17" t="inlineStr">
        <is>
          <t>6 flujos MVP completos</t>
        </is>
      </c>
      <c r="C22" s="17" t="n"/>
      <c r="D22" s="17" t="n"/>
      <c r="E22" s="17" t="n"/>
      <c r="F22" s="17" t="n"/>
      <c r="G22" s="17" t="n"/>
      <c r="H22" s="17" t="n"/>
    </row>
    <row r="23" ht="24" customHeight="1">
      <c r="A23" s="17" t="inlineStr">
        <is>
          <t>Compliance &amp; claims guardrail</t>
        </is>
      </c>
      <c r="B23" s="17" t="inlineStr">
        <is>
          <t>Qué sí decir y qué no decir</t>
        </is>
      </c>
      <c r="C23" s="17" t="n"/>
      <c r="D23" s="17" t="n"/>
      <c r="E23" s="17" t="n"/>
      <c r="F23" s="17" t="n"/>
      <c r="G23" s="17" t="n"/>
      <c r="H23" s="17" t="n"/>
    </row>
    <row r="24" ht="24" customHeight="1">
      <c r="A24" s="17" t="inlineStr">
        <is>
          <t>QA/UAT + piloto</t>
        </is>
      </c>
      <c r="B24" s="17" t="inlineStr">
        <is>
          <t>Casos de prueba y checklist go/no-go</t>
        </is>
      </c>
      <c r="C24" s="17" t="n"/>
      <c r="D24" s="17" t="n"/>
      <c r="E24" s="17" t="n"/>
      <c r="F24" s="17" t="n"/>
      <c r="G24" s="17" t="n"/>
      <c r="H24" s="17" t="n"/>
    </row>
  </sheetData>
  <mergeCells count="15">
    <mergeCell ref="A12:H12"/>
    <mergeCell ref="A18:H18"/>
    <mergeCell ref="B14:H14"/>
    <mergeCell ref="A3:H3"/>
    <mergeCell ref="B22:H22"/>
    <mergeCell ref="B13:H13"/>
    <mergeCell ref="B21:H21"/>
    <mergeCell ref="A2:H2"/>
    <mergeCell ref="B24:H24"/>
    <mergeCell ref="B16:H16"/>
    <mergeCell ref="B15:H15"/>
    <mergeCell ref="A1:H1"/>
    <mergeCell ref="B19:H19"/>
    <mergeCell ref="B20:H20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Cómo usar este workbook</t>
        </is>
      </c>
    </row>
    <row r="2" ht="24" customHeight="1"/>
    <row r="3" ht="24" customHeight="1">
      <c r="A3" s="14" t="inlineStr">
        <is>
          <t>Objetivo</t>
        </is>
      </c>
      <c r="B3" s="15" t="inlineStr">
        <is>
          <t>Convertir la propuesta TPC v3.0 en un plan SCRUM accionable, priorizado y con trazabilidad.</t>
        </is>
      </c>
      <c r="C3" s="15" t="n"/>
      <c r="D3" s="15" t="n"/>
      <c r="E3" s="15" t="n"/>
      <c r="F3" s="15" t="n"/>
    </row>
    <row r="4" ht="24" customHeight="1">
      <c r="A4" s="14" t="inlineStr">
        <is>
          <t>Orden recomendado</t>
        </is>
      </c>
      <c r="B4" s="15" t="inlineStr">
        <is>
          <t>Executive_Summary → Release_Roadmap → Product_Backlog → Sprint_0/1/2 → RAID → PDF_Artifacts.</t>
        </is>
      </c>
      <c r="C4" s="15" t="n"/>
      <c r="D4" s="15" t="n"/>
      <c r="E4" s="15" t="n"/>
      <c r="F4" s="15" t="n"/>
    </row>
    <row r="5" ht="24" customHeight="1">
      <c r="A5" s="14" t="inlineStr">
        <is>
          <t>Cómo estimar</t>
        </is>
      </c>
      <c r="B5" s="15" t="inlineStr">
        <is>
          <t>Usa story points pre-cargados. Reestima solo si el alcance real cambió.</t>
        </is>
      </c>
      <c r="C5" s="15" t="n"/>
      <c r="D5" s="15" t="n"/>
      <c r="E5" s="15" t="n"/>
      <c r="F5" s="15" t="n"/>
    </row>
    <row r="6" ht="24" customHeight="1">
      <c r="A6" s="14" t="inlineStr">
        <is>
          <t>Cómo priorizar</t>
        </is>
      </c>
      <c r="B6" s="15" t="inlineStr">
        <is>
          <t>Critical bloquea demo, compliance o flujo core. High acelera valor. Medium prepara escalamiento.</t>
        </is>
      </c>
      <c r="C6" s="15" t="n"/>
      <c r="D6" s="15" t="n"/>
      <c r="E6" s="15" t="n"/>
      <c r="F6" s="15" t="n"/>
    </row>
    <row r="7" ht="24" customHeight="1">
      <c r="A7" s="14" t="inlineStr">
        <is>
          <t>Regla de oro</t>
        </is>
      </c>
      <c r="B7" s="15" t="inlineStr">
        <is>
          <t>Si una historia rompe compliance o introduce claims dudosos, no entra al sprint.</t>
        </is>
      </c>
      <c r="C7" s="15" t="n"/>
      <c r="D7" s="15" t="n"/>
      <c r="E7" s="15" t="n"/>
      <c r="F7" s="15" t="n"/>
    </row>
    <row r="8" ht="24" customHeight="1">
      <c r="A8" s="14" t="inlineStr">
        <is>
          <t>Canal primario</t>
        </is>
      </c>
      <c r="B8" s="15" t="inlineStr">
        <is>
          <t>WhatsApp es la consola principal del usuario VIP. La app y el dashboard son soporte premium.</t>
        </is>
      </c>
      <c r="C8" s="15" t="n"/>
      <c r="D8" s="15" t="n"/>
      <c r="E8" s="15" t="n"/>
      <c r="F8" s="15" t="n"/>
    </row>
  </sheetData>
  <mergeCells count="7">
    <mergeCell ref="B4:F4"/>
    <mergeCell ref="B7:F7"/>
    <mergeCell ref="B6:F6"/>
    <mergeCell ref="A1:F1"/>
    <mergeCell ref="B3:F3"/>
    <mergeCell ref="B5:F5"/>
    <mergeCell ref="B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Executive summary operativa</t>
        </is>
      </c>
    </row>
    <row r="2" ht="24" customHeight="1"/>
    <row r="3" ht="24" customHeight="1">
      <c r="A3" s="18" t="n"/>
      <c r="B3" s="18" t="n"/>
      <c r="C3" s="19" t="n"/>
      <c r="D3" s="19" t="n"/>
      <c r="E3" s="19" t="n"/>
      <c r="F3" s="19" t="n"/>
      <c r="G3" s="19" t="n"/>
      <c r="H3" s="19" t="n"/>
    </row>
    <row r="4" ht="24" customHeight="1">
      <c r="A4" s="14" t="inlineStr">
        <is>
          <t>Producto</t>
        </is>
      </c>
      <c r="B4" s="15" t="inlineStr">
        <is>
          <t>Plataforma de patrimonio y ejecución para dueños de negocio con wallet ejecutiva + Mr. Shark + Capataz + WhatsApp</t>
        </is>
      </c>
      <c r="C4" s="15" t="n"/>
      <c r="D4" s="15" t="n"/>
      <c r="E4" s="15" t="n"/>
      <c r="F4" s="15" t="n"/>
      <c r="G4" s="15" t="n"/>
      <c r="H4" s="15" t="n"/>
    </row>
    <row r="5" ht="24" customHeight="1">
      <c r="A5" s="14" t="inlineStr">
        <is>
          <t>Core promise</t>
        </is>
      </c>
      <c r="B5" s="15" t="inlineStr">
        <is>
          <t>Una sola interfaz para mover dinero, ver portafolio, aprobar y ejecutar operación</t>
        </is>
      </c>
      <c r="C5" s="15" t="n"/>
      <c r="D5" s="15" t="n"/>
      <c r="E5" s="15" t="n"/>
      <c r="F5" s="15" t="n"/>
      <c r="G5" s="15" t="n"/>
      <c r="H5" s="15" t="n"/>
    </row>
    <row r="6" ht="24" customHeight="1">
      <c r="A6" s="14" t="inlineStr">
        <is>
          <t>MVP demo</t>
        </is>
      </c>
      <c r="B6" s="15" t="inlineStr">
        <is>
          <t>6 flujos: onboarding, wallet, command center WhatsApp, portafolio, approvals, dashboard</t>
        </is>
      </c>
      <c r="C6" s="15" t="n"/>
      <c r="D6" s="15" t="n"/>
      <c r="E6" s="15" t="n"/>
      <c r="F6" s="15" t="n"/>
      <c r="G6" s="15" t="n"/>
      <c r="H6" s="15" t="n"/>
    </row>
    <row r="7" ht="24" customHeight="1">
      <c r="A7" s="14" t="inlineStr">
        <is>
          <t>Canal primario</t>
        </is>
      </c>
      <c r="B7" s="15" t="inlineStr">
        <is>
          <t>WhatsApp Business Cloud API para el segmento VIP</t>
        </is>
      </c>
      <c r="C7" s="15" t="n"/>
      <c r="D7" s="15" t="n"/>
      <c r="E7" s="15" t="n"/>
      <c r="F7" s="15" t="n"/>
      <c r="G7" s="15" t="n"/>
      <c r="H7" s="15" t="n"/>
    </row>
    <row r="8" ht="24" customHeight="1">
      <c r="A8" s="14" t="inlineStr">
        <is>
          <t>Drivers técnicos</t>
        </is>
      </c>
      <c r="B8" s="15" t="inlineStr">
        <is>
          <t>Arquitectura provider-agnostic, dominios separados, adaptadores por proveedor</t>
        </is>
      </c>
      <c r="C8" s="15" t="n"/>
      <c r="D8" s="15" t="n"/>
      <c r="E8" s="15" t="n"/>
      <c r="F8" s="15" t="n"/>
      <c r="G8" s="15" t="n"/>
      <c r="H8" s="15" t="n"/>
    </row>
    <row r="9" ht="24" customHeight="1">
      <c r="A9" s="14" t="inlineStr">
        <is>
          <t>Riesgo principal</t>
        </is>
      </c>
      <c r="B9" s="15" t="inlineStr">
        <is>
          <t>Licencia/regulación: validar VestFI, sponsor IFPE y claims comerciales</t>
        </is>
      </c>
      <c r="C9" s="15" t="n"/>
      <c r="D9" s="15" t="n"/>
      <c r="E9" s="15" t="n"/>
      <c r="F9" s="15" t="n"/>
      <c r="G9" s="15" t="n"/>
      <c r="H9" s="15" t="n"/>
    </row>
    <row r="10" ht="24" customHeight="1">
      <c r="A10" s="14" t="inlineStr">
        <is>
          <t>Riel de inversión</t>
        </is>
      </c>
      <c r="B10" s="15" t="inlineStr">
        <is>
          <t>Demo rápida con tastytrade sandbox; Apex como visión enterprise</t>
        </is>
      </c>
      <c r="C10" s="15" t="n"/>
      <c r="D10" s="15" t="n"/>
      <c r="E10" s="15" t="n"/>
      <c r="F10" s="15" t="n"/>
      <c r="G10" s="15" t="n"/>
      <c r="H10" s="15" t="n"/>
    </row>
    <row r="11" ht="24" customHeight="1">
      <c r="A11" s="14" t="inlineStr">
        <is>
          <t>Health</t>
        </is>
      </c>
      <c r="B11" s="15" t="inlineStr">
        <is>
          <t>Sale de Fase 1. Queda diferido a Fase 3 como beneficio premium</t>
        </is>
      </c>
      <c r="C11" s="15" t="n"/>
      <c r="D11" s="15" t="n"/>
      <c r="E11" s="15" t="n"/>
      <c r="F11" s="15" t="n"/>
      <c r="G11" s="15" t="n"/>
      <c r="H11" s="15" t="n"/>
    </row>
  </sheetData>
  <mergeCells count="9">
    <mergeCell ref="B8:H8"/>
    <mergeCell ref="B9:H9"/>
    <mergeCell ref="B4:H4"/>
    <mergeCell ref="B6:H6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 ht="24" customHeight="1">
      <c r="A1" s="16" t="inlineStr">
        <is>
          <t>Horizonte</t>
        </is>
      </c>
      <c r="B1" s="16" t="inlineStr">
        <is>
          <t>Inicio</t>
        </is>
      </c>
      <c r="C1" s="16" t="inlineStr">
        <is>
          <t>Fin</t>
        </is>
      </c>
      <c r="D1" s="16" t="inlineStr">
        <is>
          <t>Objetivo</t>
        </is>
      </c>
      <c r="E1" s="16" t="inlineStr">
        <is>
          <t>Entregable</t>
        </is>
      </c>
      <c r="F1" s="16" t="inlineStr">
        <is>
          <t>Exit criteria</t>
        </is>
      </c>
      <c r="G1" s="16" t="inlineStr">
        <is>
          <t>Dependencias críticas</t>
        </is>
      </c>
    </row>
    <row r="2" ht="24" customHeight="1">
      <c r="A2" s="15" t="inlineStr">
        <is>
          <t>Hoy / noche</t>
        </is>
      </c>
      <c r="B2" s="20" t="n">
        <v>46098</v>
      </c>
      <c r="C2" s="20" t="n">
        <v>46102</v>
      </c>
      <c r="D2" s="15" t="inlineStr">
        <is>
          <t>Congelar alcance, skeleton, compliance, demo base y artefactos iniciales</t>
        </is>
      </c>
      <c r="E2" s="15" t="inlineStr">
        <is>
          <t>Documento base + API skeleton + plan SCRUM + script demo</t>
        </is>
      </c>
      <c r="F2" s="15" t="inlineStr">
        <is>
          <t>Narrativa consistente y backlog listo para ejecutar</t>
        </is>
      </c>
      <c r="G2" s="15" t="inlineStr">
        <is>
          <t>Decisiones de scope, provider shortlist, claims permitidos</t>
        </is>
      </c>
    </row>
    <row r="3" ht="24" customHeight="1">
      <c r="A3" s="15" t="inlineStr">
        <is>
          <t>Sprint 1</t>
        </is>
      </c>
      <c r="B3" s="20" t="n">
        <v>46103</v>
      </c>
      <c r="C3" s="20" t="n">
        <v>46116</v>
      </c>
      <c r="D3" s="15" t="inlineStr">
        <is>
          <t>Núcleo funcional de TPC</t>
        </is>
      </c>
      <c r="E3" s="15" t="inlineStr">
        <is>
          <t>Onboarding, wallet ejecutiva, Mr. Shark, approvals, dashboard</t>
        </is>
      </c>
      <c r="F3" s="15" t="inlineStr">
        <is>
          <t>6 flujos recorribles con mocks controlados</t>
        </is>
      </c>
      <c r="G3" s="15" t="inlineStr">
        <is>
          <t>WhatsApp setup, RBAC, audit, broker mock</t>
        </is>
      </c>
    </row>
    <row r="4" ht="24" customHeight="1">
      <c r="A4" s="15" t="inlineStr">
        <is>
          <t>Sprint 2</t>
        </is>
      </c>
      <c r="B4" s="20" t="n">
        <v>46117</v>
      </c>
      <c r="C4" s="20" t="n">
        <v>46130</v>
      </c>
      <c r="D4" s="15" t="inlineStr">
        <is>
          <t>Operación VIP para piloto controlado</t>
        </is>
      </c>
      <c r="E4" s="15" t="inlineStr">
        <is>
          <t>Sandbox broker, QA smoke suite, runbook, observabilidad, readiness checklist</t>
        </is>
      </c>
      <c r="F4" s="15" t="inlineStr">
        <is>
          <t>Demo/piloto repetible</t>
        </is>
      </c>
      <c r="G4" s="15" t="inlineStr">
        <is>
          <t>tastytrade sandbox, smoke tests, runbook, vertical objetivo</t>
        </is>
      </c>
    </row>
    <row r="5" ht="24" customHeight="1">
      <c r="A5" s="15" t="inlineStr">
        <is>
          <t>Fase 2</t>
        </is>
      </c>
      <c r="B5" s="20" t="n">
        <v>46131</v>
      </c>
      <c r="C5" s="20" t="n">
        <v>46144</v>
      </c>
      <c r="D5" s="15" t="inlineStr">
        <is>
          <t>Escala premium regulada</t>
        </is>
      </c>
      <c r="E5" s="15" t="inlineStr">
        <is>
          <t>Broker/custodio real, cards, reglas patrimoniales</t>
        </is>
      </c>
      <c r="F5" s="15" t="inlineStr">
        <is>
          <t>Plan regulatorio y técnico aprobado</t>
        </is>
      </c>
      <c r="G5" s="15" t="inlineStr">
        <is>
          <t>Sponsor, acuerdos comerciales, APIs reales</t>
        </is>
      </c>
    </row>
    <row r="6" ht="24" customHeight="1">
      <c r="A6" s="15" t="inlineStr">
        <is>
          <t>Fase 3</t>
        </is>
      </c>
      <c r="B6" s="20" t="n">
        <v>46145</v>
      </c>
      <c r="C6" s="20" t="n">
        <v>46172</v>
      </c>
      <c r="D6" s="15" t="inlineStr">
        <is>
          <t>Health premium</t>
        </is>
      </c>
      <c r="E6" s="15" t="inlineStr">
        <is>
          <t>Fountain Life + Zori AI + concierge</t>
        </is>
      </c>
      <c r="F6" s="15" t="inlineStr">
        <is>
          <t>Backlog separado y value proposition cerrada</t>
        </is>
      </c>
      <c r="G6" s="15" t="inlineStr">
        <is>
          <t>Consulta premium, datos clínicos, UX health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10" customWidth="1" min="4" max="4"/>
    <col width="42" customWidth="1" min="5" max="5"/>
    <col width="42" customWidth="1" min="6" max="6"/>
    <col width="10" customWidth="1" min="7" max="7"/>
    <col width="10" customWidth="1" min="8" max="8"/>
    <col width="41" customWidth="1" min="9" max="9"/>
    <col width="15" customWidth="1" min="10" max="10"/>
    <col width="11" customWidth="1" min="11" max="11"/>
    <col width="10" customWidth="1" min="12" max="12"/>
    <col width="10" customWidth="1" min="13" max="13"/>
    <col width="42" customWidth="1" min="14" max="14"/>
  </cols>
  <sheetData>
    <row r="1" ht="24" customHeight="1">
      <c r="A1" s="16" t="inlineStr">
        <is>
          <t>ID</t>
        </is>
      </c>
      <c r="B1" s="16" t="inlineStr">
        <is>
          <t>Epic</t>
        </is>
      </c>
      <c r="C1" s="16" t="inlineStr">
        <is>
          <t>Feature</t>
        </is>
      </c>
      <c r="D1" s="16" t="inlineStr">
        <is>
          <t>Type</t>
        </is>
      </c>
      <c r="E1" s="16" t="inlineStr">
        <is>
          <t>User story</t>
        </is>
      </c>
      <c r="F1" s="16" t="inlineStr">
        <is>
          <t>Acceptance criteria</t>
        </is>
      </c>
      <c r="G1" s="16" t="inlineStr">
        <is>
          <t>Priority</t>
        </is>
      </c>
      <c r="H1" s="16" t="inlineStr">
        <is>
          <t>SP</t>
        </is>
      </c>
      <c r="I1" s="16" t="inlineStr">
        <is>
          <t>Dependencies</t>
        </is>
      </c>
      <c r="J1" s="16" t="inlineStr">
        <is>
          <t>Target sprint</t>
        </is>
      </c>
      <c r="K1" s="16" t="inlineStr">
        <is>
          <t>Owner</t>
        </is>
      </c>
      <c r="L1" s="16" t="inlineStr">
        <is>
          <t>Status</t>
        </is>
      </c>
      <c r="M1" s="16" t="inlineStr">
        <is>
          <t>Risk</t>
        </is>
      </c>
      <c r="N1" s="16" t="inlineStr">
        <is>
          <t>Notes</t>
        </is>
      </c>
    </row>
    <row r="2" ht="24" customHeight="1">
      <c r="A2" s="15" t="inlineStr">
        <is>
          <t>TPC-001</t>
        </is>
      </c>
      <c r="B2" s="15" t="inlineStr">
        <is>
          <t>Foundation</t>
        </is>
      </c>
      <c r="C2" s="15" t="inlineStr">
        <is>
          <t>Vision &amp; scope</t>
        </is>
      </c>
      <c r="D2" s="15" t="inlineStr">
        <is>
          <t>Story</t>
        </is>
      </c>
      <c r="E2" s="15" t="inlineStr">
        <is>
          <t>Como sponsor quiero scope Fase 1 congelado para evitar desvíos y humo.</t>
        </is>
      </c>
      <c r="F2" s="15" t="inlineStr">
        <is>
          <t>Documento firmado con alcance MVP, fuera de scope y decisiones abiertas cerradas.</t>
        </is>
      </c>
      <c r="G2" s="21" t="inlineStr">
        <is>
          <t>Critical</t>
        </is>
      </c>
      <c r="H2" s="14" t="n">
        <v>3</v>
      </c>
      <c r="I2" s="15" t="inlineStr">
        <is>
          <t>-</t>
        </is>
      </c>
      <c r="J2" s="15" t="inlineStr">
        <is>
          <t>Sprint 0</t>
        </is>
      </c>
      <c r="K2" s="15" t="inlineStr">
        <is>
          <t>PO</t>
        </is>
      </c>
      <c r="L2" s="22" t="inlineStr">
        <is>
          <t>To Do</t>
        </is>
      </c>
      <c r="M2" s="15" t="inlineStr">
        <is>
          <t>Med</t>
        </is>
      </c>
      <c r="N2" s="15" t="inlineStr">
        <is>
          <t>Basado en los 6 flujos MVP y alertas regulatorias.</t>
        </is>
      </c>
    </row>
    <row r="3" ht="24" customHeight="1">
      <c r="A3" s="15" t="inlineStr">
        <is>
          <t>TPC-002</t>
        </is>
      </c>
      <c r="B3" s="15" t="inlineStr">
        <is>
          <t>Foundation</t>
        </is>
      </c>
      <c r="C3" s="15" t="inlineStr">
        <is>
          <t>Product architecture</t>
        </is>
      </c>
      <c r="D3" s="15" t="inlineStr">
        <is>
          <t>Story</t>
        </is>
      </c>
      <c r="E3" s="15" t="inlineStr">
        <is>
          <t>Como equipo técnico quiero arquitectura provider-agnostic definida para no casarnos prematuramente.</t>
        </is>
      </c>
      <c r="F3" s="15" t="inlineStr">
        <is>
          <t>Diagrama de capas, dominios y contratos internos publicado.</t>
        </is>
      </c>
      <c r="G3" s="21" t="inlineStr">
        <is>
          <t>Critical</t>
        </is>
      </c>
      <c r="H3" s="14" t="n">
        <v>5</v>
      </c>
      <c r="I3" s="15" t="inlineStr">
        <is>
          <t>TPC-001</t>
        </is>
      </c>
      <c r="J3" s="15" t="inlineStr">
        <is>
          <t>Sprint 0</t>
        </is>
      </c>
      <c r="K3" s="15" t="inlineStr">
        <is>
          <t>Tech Lead</t>
        </is>
      </c>
      <c r="L3" s="22" t="inlineStr">
        <is>
          <t>To Do</t>
        </is>
      </c>
      <c r="M3" s="15" t="inlineStr">
        <is>
          <t>Med</t>
        </is>
      </c>
      <c r="N3" s="15" t="inlineStr">
        <is>
          <t>Capas: Experience, Intelligence, Orchestration, Domain, Integration, Data+Audit.</t>
        </is>
      </c>
    </row>
    <row r="4" ht="24" customHeight="1">
      <c r="A4" s="15" t="inlineStr">
        <is>
          <t>TPC-003</t>
        </is>
      </c>
      <c r="B4" s="15" t="inlineStr">
        <is>
          <t>Foundation</t>
        </is>
      </c>
      <c r="C4" s="15" t="inlineStr">
        <is>
          <t>Repo &amp; environments</t>
        </is>
      </c>
      <c r="D4" s="15" t="inlineStr">
        <is>
          <t>Story</t>
        </is>
      </c>
      <c r="E4" s="15" t="inlineStr">
        <is>
          <t>Como desarrollador quiero repos y ambientes listos para empezar hoy mismo.</t>
        </is>
      </c>
      <c r="F4" s="15" t="inlineStr">
        <is>
          <t>Repos creados, ramas, CI base, variables por entorno y README de arranque.</t>
        </is>
      </c>
      <c r="G4" s="23" t="inlineStr">
        <is>
          <t>High</t>
        </is>
      </c>
      <c r="H4" s="14" t="n">
        <v>5</v>
      </c>
      <c r="I4" s="15" t="inlineStr">
        <is>
          <t>TPC-002</t>
        </is>
      </c>
      <c r="J4" s="15" t="inlineStr">
        <is>
          <t>Sprint 0</t>
        </is>
      </c>
      <c r="K4" s="15" t="inlineStr">
        <is>
          <t>DevOps</t>
        </is>
      </c>
      <c r="L4" s="22" t="inlineStr">
        <is>
          <t>To Do</t>
        </is>
      </c>
      <c r="M4" s="15" t="inlineStr">
        <is>
          <t>Low</t>
        </is>
      </c>
      <c r="N4" s="15" t="inlineStr">
        <is>
          <t>Incluye local, staging y demo.</t>
        </is>
      </c>
    </row>
    <row r="5" ht="24" customHeight="1">
      <c r="A5" s="15" t="inlineStr">
        <is>
          <t>TPC-004</t>
        </is>
      </c>
      <c r="B5" s="15" t="inlineStr">
        <is>
          <t>Foundation</t>
        </is>
      </c>
      <c r="C5" s="15" t="inlineStr">
        <is>
          <t>API skeleton</t>
        </is>
      </c>
      <c r="D5" s="15" t="inlineStr">
        <is>
          <t>Story</t>
        </is>
      </c>
      <c r="E5" s="15" t="inlineStr">
        <is>
          <t>Como backend lead quiero un skeleton con dominios base para programar sin fricción.</t>
        </is>
      </c>
      <c r="F5" s="15" t="inlineStr">
        <is>
          <t>Rutas de dominios creadas con healthcheck, auth mock y documentación inicial.</t>
        </is>
      </c>
      <c r="G5" s="21" t="inlineStr">
        <is>
          <t>Critical</t>
        </is>
      </c>
      <c r="H5" s="14" t="n">
        <v>8</v>
      </c>
      <c r="I5" s="15" t="inlineStr">
        <is>
          <t>TPC-002</t>
        </is>
      </c>
      <c r="J5" s="15" t="inlineStr">
        <is>
          <t>Sprint 0</t>
        </is>
      </c>
      <c r="K5" s="15" t="inlineStr">
        <is>
          <t>Backend</t>
        </is>
      </c>
      <c r="L5" s="22" t="inlineStr">
        <is>
          <t>To Do</t>
        </is>
      </c>
      <c r="M5" s="15" t="inlineStr">
        <is>
          <t>Med</t>
        </is>
      </c>
      <c r="N5" s="15" t="inlineStr">
        <is>
          <t>8 dominios y más de 40 endpoints planeados.</t>
        </is>
      </c>
    </row>
    <row r="6" ht="24" customHeight="1">
      <c r="A6" s="15" t="inlineStr">
        <is>
          <t>TPC-005</t>
        </is>
      </c>
      <c r="B6" s="15" t="inlineStr">
        <is>
          <t>Foundation</t>
        </is>
      </c>
      <c r="C6" s="15" t="inlineStr">
        <is>
          <t>Design system demo</t>
        </is>
      </c>
      <c r="D6" s="15" t="inlineStr">
        <is>
          <t>Story</t>
        </is>
      </c>
      <c r="E6" s="15" t="inlineStr">
        <is>
          <t>Como frontend lead quiero shell visual ejecutiva para que la demo no se vea hueca.</t>
        </is>
      </c>
      <c r="F6" s="15" t="inlineStr">
        <is>
          <t>Layout responsive, navegación, dashboard shell y placeholders conectables.</t>
        </is>
      </c>
      <c r="G6" s="23" t="inlineStr">
        <is>
          <t>High</t>
        </is>
      </c>
      <c r="H6" s="14" t="n">
        <v>5</v>
      </c>
      <c r="I6" s="15" t="inlineStr">
        <is>
          <t>TPC-001</t>
        </is>
      </c>
      <c r="J6" s="15" t="inlineStr">
        <is>
          <t>Sprint 0</t>
        </is>
      </c>
      <c r="K6" s="15" t="inlineStr">
        <is>
          <t>Frontend</t>
        </is>
      </c>
      <c r="L6" s="22" t="inlineStr">
        <is>
          <t>To Do</t>
        </is>
      </c>
      <c r="M6" s="15" t="inlineStr">
        <is>
          <t>Low</t>
        </is>
      </c>
      <c r="N6" s="15" t="inlineStr">
        <is>
          <t>Debe verse premium.</t>
        </is>
      </c>
    </row>
    <row r="7" ht="24" customHeight="1">
      <c r="A7" s="15" t="inlineStr">
        <is>
          <t>TPC-006</t>
        </is>
      </c>
      <c r="B7" s="15" t="inlineStr">
        <is>
          <t>Compliance</t>
        </is>
      </c>
      <c r="C7" s="15" t="inlineStr">
        <is>
          <t>Regulatory risk memo</t>
        </is>
      </c>
      <c r="D7" s="15" t="inlineStr">
        <is>
          <t>Story</t>
        </is>
      </c>
      <c r="E7" s="15" t="inlineStr">
        <is>
          <t>Como sponsor quiero memo de compliance para saber qué sí y qué no vender mañana.</t>
        </is>
      </c>
      <c r="F7" s="15" t="inlineStr">
        <is>
          <t>Lista de claims permitidos/prohibidos, riesgos y dependencias regulatorias.</t>
        </is>
      </c>
      <c r="G7" s="21" t="inlineStr">
        <is>
          <t>Critical</t>
        </is>
      </c>
      <c r="H7" s="14" t="n">
        <v>3</v>
      </c>
      <c r="I7" s="15" t="inlineStr">
        <is>
          <t>TPC-001</t>
        </is>
      </c>
      <c r="J7" s="15" t="inlineStr">
        <is>
          <t>Sprint 0</t>
        </is>
      </c>
      <c r="K7" s="15" t="inlineStr">
        <is>
          <t>Legal/PO</t>
        </is>
      </c>
      <c r="L7" s="22" t="inlineStr">
        <is>
          <t>To Do</t>
        </is>
      </c>
      <c r="M7" s="15" t="inlineStr">
        <is>
          <t>High</t>
        </is>
      </c>
      <c r="N7" s="15" t="inlineStr">
        <is>
          <t>VestFI y IFPE como foco.</t>
        </is>
      </c>
    </row>
    <row r="8" ht="24" customHeight="1">
      <c r="A8" s="15" t="inlineStr">
        <is>
          <t>TPC-007</t>
        </is>
      </c>
      <c r="B8" s="15" t="inlineStr">
        <is>
          <t>QA/Demo</t>
        </is>
      </c>
      <c r="C8" s="15" t="inlineStr">
        <is>
          <t>Demo script v1</t>
        </is>
      </c>
      <c r="D8" s="15" t="inlineStr">
        <is>
          <t>Story</t>
        </is>
      </c>
      <c r="E8" s="15" t="inlineStr">
        <is>
          <t>Como equipo comercial quiero un guion exacto de demo para presentar sin improvisar.</t>
        </is>
      </c>
      <c r="F8" s="15" t="inlineStr">
        <is>
          <t>Script de 10-12 min con narrativa, pantallas, disclaimers y CTA.</t>
        </is>
      </c>
      <c r="G8" s="23" t="inlineStr">
        <is>
          <t>High</t>
        </is>
      </c>
      <c r="H8" s="14" t="n">
        <v>2</v>
      </c>
      <c r="I8" s="15" t="inlineStr">
        <is>
          <t>TPC-005,TPC-006</t>
        </is>
      </c>
      <c r="J8" s="15" t="inlineStr">
        <is>
          <t>Sprint 0</t>
        </is>
      </c>
      <c r="K8" s="15" t="inlineStr">
        <is>
          <t>PO</t>
        </is>
      </c>
      <c r="L8" s="22" t="inlineStr">
        <is>
          <t>To Do</t>
        </is>
      </c>
      <c r="M8" s="15" t="inlineStr">
        <is>
          <t>Low</t>
        </is>
      </c>
      <c r="N8" s="15" t="inlineStr">
        <is>
          <t>Listo para Tec de Monterrey.</t>
        </is>
      </c>
    </row>
    <row r="9" ht="24" customHeight="1">
      <c r="A9" s="15" t="inlineStr">
        <is>
          <t>TPC-008</t>
        </is>
      </c>
      <c r="B9" s="15" t="inlineStr">
        <is>
          <t>Foundation</t>
        </is>
      </c>
      <c r="C9" s="15" t="inlineStr">
        <is>
          <t>Definition of Ready / Done</t>
        </is>
      </c>
      <c r="D9" s="15" t="inlineStr">
        <is>
          <t>Story</t>
        </is>
      </c>
      <c r="E9" s="15" t="inlineStr">
        <is>
          <t>Como scrum master quiero reglas claras para entrar y salir de sprint.</t>
        </is>
      </c>
      <c r="F9" s="15" t="inlineStr">
        <is>
          <t>DoR y DoD publicados y aceptados por el equipo.</t>
        </is>
      </c>
      <c r="G9" s="23" t="inlineStr">
        <is>
          <t>High</t>
        </is>
      </c>
      <c r="H9" s="14" t="n">
        <v>2</v>
      </c>
      <c r="I9" s="15" t="inlineStr">
        <is>
          <t>TPC-001</t>
        </is>
      </c>
      <c r="J9" s="15" t="inlineStr">
        <is>
          <t>Sprint 0</t>
        </is>
      </c>
      <c r="K9" s="15" t="inlineStr">
        <is>
          <t>SM</t>
        </is>
      </c>
      <c r="L9" s="22" t="inlineStr">
        <is>
          <t>To Do</t>
        </is>
      </c>
      <c r="M9" s="15" t="inlineStr">
        <is>
          <t>Low</t>
        </is>
      </c>
      <c r="N9" s="15" t="inlineStr">
        <is>
          <t>Control de calidad del backlog.</t>
        </is>
      </c>
    </row>
    <row r="10" ht="24" customHeight="1">
      <c r="A10" s="15" t="inlineStr">
        <is>
          <t>TPC-009</t>
        </is>
      </c>
      <c r="B10" s="15" t="inlineStr">
        <is>
          <t>Integrations</t>
        </is>
      </c>
      <c r="C10" s="15" t="inlineStr">
        <is>
          <t>Provider decision matrix</t>
        </is>
      </c>
      <c r="D10" s="15" t="inlineStr">
        <is>
          <t>Story</t>
        </is>
      </c>
      <c r="E10" s="15" t="inlineStr">
        <is>
          <t>Como sponsor quiero una matriz Apex vs tastytrade vs ambos para decidir rápido.</t>
        </is>
      </c>
      <c r="F10" s="15" t="inlineStr">
        <is>
          <t>Matriz con objetivo, costo, demo speed, riesgo, dependencia regulatoria.</t>
        </is>
      </c>
      <c r="G10" s="23" t="inlineStr">
        <is>
          <t>High</t>
        </is>
      </c>
      <c r="H10" s="14" t="n">
        <v>3</v>
      </c>
      <c r="I10" s="15" t="inlineStr">
        <is>
          <t>TPC-006</t>
        </is>
      </c>
      <c r="J10" s="15" t="inlineStr">
        <is>
          <t>Sprint 0</t>
        </is>
      </c>
      <c r="K10" s="15" t="inlineStr">
        <is>
          <t>PO</t>
        </is>
      </c>
      <c r="L10" s="22" t="inlineStr">
        <is>
          <t>To Do</t>
        </is>
      </c>
      <c r="M10" s="15" t="inlineStr">
        <is>
          <t>Med</t>
        </is>
      </c>
      <c r="N10" s="15" t="inlineStr">
        <is>
          <t>Decisión pragmática por fase.</t>
        </is>
      </c>
    </row>
    <row r="11" ht="24" customHeight="1">
      <c r="A11" s="15" t="inlineStr">
        <is>
          <t>TPC-010</t>
        </is>
      </c>
      <c r="B11" s="15" t="inlineStr">
        <is>
          <t>Security</t>
        </is>
      </c>
      <c r="C11" s="15" t="inlineStr">
        <is>
          <t>Audit baseline</t>
        </is>
      </c>
      <c r="D11" s="15" t="inlineStr">
        <is>
          <t>Story</t>
        </is>
      </c>
      <c r="E11" s="15" t="inlineStr">
        <is>
          <t>Como compliance owner quiero traza mínima desde el día 1 para no perder evidencia.</t>
        </is>
      </c>
      <c r="F11" s="15" t="inlineStr">
        <is>
          <t>Event schema y política de auditoría base definidos.</t>
        </is>
      </c>
      <c r="G11" s="23" t="inlineStr">
        <is>
          <t>High</t>
        </is>
      </c>
      <c r="H11" s="14" t="n">
        <v>3</v>
      </c>
      <c r="I11" s="15" t="inlineStr">
        <is>
          <t>TPC-004</t>
        </is>
      </c>
      <c r="J11" s="15" t="inlineStr">
        <is>
          <t>Sprint 0</t>
        </is>
      </c>
      <c r="K11" s="15" t="inlineStr">
        <is>
          <t>Backend</t>
        </is>
      </c>
      <c r="L11" s="22" t="inlineStr">
        <is>
          <t>To Do</t>
        </is>
      </c>
      <c r="M11" s="15" t="inlineStr">
        <is>
          <t>Med</t>
        </is>
      </c>
      <c r="N11" s="15" t="inlineStr">
        <is>
          <t>Preparar /audit/*.</t>
        </is>
      </c>
    </row>
    <row r="12" ht="24" customHeight="1">
      <c r="A12" s="15" t="inlineStr">
        <is>
          <t>TPC-011</t>
        </is>
      </c>
      <c r="B12" s="15" t="inlineStr">
        <is>
          <t>Identity &amp; Roles</t>
        </is>
      </c>
      <c r="C12" s="15" t="inlineStr">
        <is>
          <t>Organizations</t>
        </is>
      </c>
      <c r="D12" s="15" t="inlineStr">
        <is>
          <t>Story</t>
        </is>
      </c>
      <c r="E12" s="15" t="inlineStr">
        <is>
          <t>Como owner quiero crear mi organización para separar patrimonio y operación.</t>
        </is>
      </c>
      <c r="F12" s="15" t="inlineStr">
        <is>
          <t>Alta de organización, owner inicial y configuración básica.</t>
        </is>
      </c>
      <c r="G12" s="21" t="inlineStr">
        <is>
          <t>Critical</t>
        </is>
      </c>
      <c r="H12" s="14" t="n">
        <v>5</v>
      </c>
      <c r="I12" s="15" t="inlineStr">
        <is>
          <t>TPC-004</t>
        </is>
      </c>
      <c r="J12" s="15" t="inlineStr">
        <is>
          <t>Sprint 1</t>
        </is>
      </c>
      <c r="K12" s="15" t="inlineStr">
        <is>
          <t>Backend</t>
        </is>
      </c>
      <c r="L12" s="22" t="inlineStr">
        <is>
          <t>To Do</t>
        </is>
      </c>
      <c r="M12" s="15" t="inlineStr">
        <is>
          <t>Low</t>
        </is>
      </c>
      <c r="N12" s="15" t="inlineStr">
        <is>
          <t>Flujo 1.</t>
        </is>
      </c>
    </row>
    <row r="13" ht="24" customHeight="1">
      <c r="A13" s="15" t="inlineStr">
        <is>
          <t>TPC-012</t>
        </is>
      </c>
      <c r="B13" s="15" t="inlineStr">
        <is>
          <t>Identity &amp; Roles</t>
        </is>
      </c>
      <c r="C13" s="15" t="inlineStr">
        <is>
          <t>User onboarding</t>
        </is>
      </c>
      <c r="D13" s="15" t="inlineStr">
        <is>
          <t>Story</t>
        </is>
      </c>
      <c r="E13" s="15" t="inlineStr">
        <is>
          <t>Como ejecutivo quiero registrarme y activar mi cuenta VIP en minutos.</t>
        </is>
      </c>
      <c r="F13" s="15" t="inlineStr">
        <is>
          <t>Alta, verificación, sesión y perfil básico funcional.</t>
        </is>
      </c>
      <c r="G13" s="21" t="inlineStr">
        <is>
          <t>Critical</t>
        </is>
      </c>
      <c r="H13" s="14" t="n">
        <v>5</v>
      </c>
      <c r="I13" s="15" t="inlineStr">
        <is>
          <t>TPC-004</t>
        </is>
      </c>
      <c r="J13" s="15" t="inlineStr">
        <is>
          <t>Sprint 1</t>
        </is>
      </c>
      <c r="K13" s="15" t="inlineStr">
        <is>
          <t>Backend</t>
        </is>
      </c>
      <c r="L13" s="22" t="inlineStr">
        <is>
          <t>To Do</t>
        </is>
      </c>
      <c r="M13" s="15" t="inlineStr">
        <is>
          <t>Low</t>
        </is>
      </c>
      <c r="N13" s="15" t="inlineStr">
        <is>
          <t>Flujo 1.</t>
        </is>
      </c>
    </row>
    <row r="14" ht="24" customHeight="1">
      <c r="A14" s="15" t="inlineStr">
        <is>
          <t>TPC-013</t>
        </is>
      </c>
      <c r="B14" s="15" t="inlineStr">
        <is>
          <t>Identity &amp; Roles</t>
        </is>
      </c>
      <c r="C14" s="15" t="inlineStr">
        <is>
          <t>Roles &amp; permissions</t>
        </is>
      </c>
      <c r="D14" s="15" t="inlineStr">
        <is>
          <t>Story</t>
        </is>
      </c>
      <c r="E14" s="15" t="inlineStr">
        <is>
          <t>Como owner quiero controlar quién puede ver, pedir o aprobar dinero.</t>
        </is>
      </c>
      <c r="F14" s="15" t="inlineStr">
        <is>
          <t>Roles Owner/Admin/Staff/Viewer con permisos efectivos.</t>
        </is>
      </c>
      <c r="G14" s="21" t="inlineStr">
        <is>
          <t>Critical</t>
        </is>
      </c>
      <c r="H14" s="14" t="n">
        <v>8</v>
      </c>
      <c r="I14" s="15" t="inlineStr">
        <is>
          <t>TPC-011,TPC-012</t>
        </is>
      </c>
      <c r="J14" s="15" t="inlineStr">
        <is>
          <t>Sprint 1</t>
        </is>
      </c>
      <c r="K14" s="15" t="inlineStr">
        <is>
          <t>Backend</t>
        </is>
      </c>
      <c r="L14" s="22" t="inlineStr">
        <is>
          <t>To Do</t>
        </is>
      </c>
      <c r="M14" s="15" t="inlineStr">
        <is>
          <t>Med</t>
        </is>
      </c>
      <c r="N14" s="15" t="inlineStr">
        <is>
          <t>Base de approvals.</t>
        </is>
      </c>
    </row>
    <row r="15" ht="24" customHeight="1">
      <c r="A15" s="15" t="inlineStr">
        <is>
          <t>TPC-014</t>
        </is>
      </c>
      <c r="B15" s="15" t="inlineStr">
        <is>
          <t>Identity &amp; Roles</t>
        </is>
      </c>
      <c r="C15" s="15" t="inlineStr">
        <is>
          <t>Staff directory</t>
        </is>
      </c>
      <c r="D15" s="15" t="inlineStr">
        <is>
          <t>Story</t>
        </is>
      </c>
      <c r="E15" s="15" t="inlineStr">
        <is>
          <t>Como owner quiero registrar staff y responsables para delegar con Capataz.</t>
        </is>
      </c>
      <c r="F15" s="15" t="inlineStr">
        <is>
          <t>CRUD de staff y asignación por área.</t>
        </is>
      </c>
      <c r="G15" s="23" t="inlineStr">
        <is>
          <t>High</t>
        </is>
      </c>
      <c r="H15" s="14" t="n">
        <v>5</v>
      </c>
      <c r="I15" s="15" t="inlineStr">
        <is>
          <t>TPC-013</t>
        </is>
      </c>
      <c r="J15" s="15" t="inlineStr">
        <is>
          <t>Sprint 1</t>
        </is>
      </c>
      <c r="K15" s="15" t="inlineStr">
        <is>
          <t>Backend</t>
        </is>
      </c>
      <c r="L15" s="22" t="inlineStr">
        <is>
          <t>To Do</t>
        </is>
      </c>
      <c r="M15" s="15" t="inlineStr">
        <is>
          <t>Low</t>
        </is>
      </c>
      <c r="N15" s="15" t="inlineStr">
        <is>
          <t>Soporta tareas y reminders.</t>
        </is>
      </c>
    </row>
    <row r="16" ht="24" customHeight="1">
      <c r="A16" s="15" t="inlineStr">
        <is>
          <t>TPC-015</t>
        </is>
      </c>
      <c r="B16" s="15" t="inlineStr">
        <is>
          <t>Identity &amp; Roles</t>
        </is>
      </c>
      <c r="C16" s="15" t="inlineStr">
        <is>
          <t>Risk profile intake</t>
        </is>
      </c>
      <c r="D16" s="15" t="inlineStr">
        <is>
          <t>Story</t>
        </is>
      </c>
      <c r="E16" s="15" t="inlineStr">
        <is>
          <t>Como cliente VIP quiero definir perfil de riesgo para recomendaciones y guardrails.</t>
        </is>
      </c>
      <c r="F16" s="15" t="inlineStr">
        <is>
          <t>Formulario de perfil y persistencia; visible a Mr. Shark.</t>
        </is>
      </c>
      <c r="G16" s="23" t="inlineStr">
        <is>
          <t>High</t>
        </is>
      </c>
      <c r="H16" s="14" t="n">
        <v>3</v>
      </c>
      <c r="I16" s="15" t="inlineStr">
        <is>
          <t>TPC-012</t>
        </is>
      </c>
      <c r="J16" s="15" t="inlineStr">
        <is>
          <t>Sprint 1</t>
        </is>
      </c>
      <c r="K16" s="15" t="inlineStr">
        <is>
          <t>Frontend</t>
        </is>
      </c>
      <c r="L16" s="22" t="inlineStr">
        <is>
          <t>To Do</t>
        </is>
      </c>
      <c r="M16" s="15" t="inlineStr">
        <is>
          <t>Med</t>
        </is>
      </c>
      <c r="N16" s="15" t="inlineStr">
        <is>
          <t>Necesario para portfolio.</t>
        </is>
      </c>
    </row>
    <row r="17" ht="24" customHeight="1">
      <c r="A17" s="15" t="inlineStr">
        <is>
          <t>TPC-016</t>
        </is>
      </c>
      <c r="B17" s="15" t="inlineStr">
        <is>
          <t>Wallet Core</t>
        </is>
      </c>
      <c r="C17" s="15" t="inlineStr">
        <is>
          <t>Wallet accounts</t>
        </is>
      </c>
      <c r="D17" s="15" t="inlineStr">
        <is>
          <t>Story</t>
        </is>
      </c>
      <c r="E17" s="15" t="inlineStr">
        <is>
          <t>Como usuario quiero ver mis cuentas y subwallets en un solo lugar.</t>
        </is>
      </c>
      <c r="F17" s="15" t="inlineStr">
        <is>
          <t>Listado de cuentas, alias y tipo de cuenta.</t>
        </is>
      </c>
      <c r="G17" s="21" t="inlineStr">
        <is>
          <t>Critical</t>
        </is>
      </c>
      <c r="H17" s="14" t="n">
        <v>5</v>
      </c>
      <c r="I17" s="15" t="inlineStr">
        <is>
          <t>TPC-011</t>
        </is>
      </c>
      <c r="J17" s="15" t="inlineStr">
        <is>
          <t>Sprint 1</t>
        </is>
      </c>
      <c r="K17" s="15" t="inlineStr">
        <is>
          <t>Backend</t>
        </is>
      </c>
      <c r="L17" s="22" t="inlineStr">
        <is>
          <t>To Do</t>
        </is>
      </c>
      <c r="M17" s="15" t="inlineStr">
        <is>
          <t>Low</t>
        </is>
      </c>
      <c r="N17" s="15" t="inlineStr">
        <is>
          <t>Flujo 2.</t>
        </is>
      </c>
    </row>
    <row r="18" ht="24" customHeight="1">
      <c r="A18" s="15" t="inlineStr">
        <is>
          <t>TPC-017</t>
        </is>
      </c>
      <c r="B18" s="15" t="inlineStr">
        <is>
          <t>Wallet Core</t>
        </is>
      </c>
      <c r="C18" s="15" t="inlineStr">
        <is>
          <t>Balances</t>
        </is>
      </c>
      <c r="D18" s="15" t="inlineStr">
        <is>
          <t>Story</t>
        </is>
      </c>
      <c r="E18" s="15" t="inlineStr">
        <is>
          <t>Como usuario quiero consultar liquidez total y por cuenta.</t>
        </is>
      </c>
      <c r="F18" s="15" t="inlineStr">
        <is>
          <t>Saldo total y por cuenta con timestamp.</t>
        </is>
      </c>
      <c r="G18" s="21" t="inlineStr">
        <is>
          <t>Critical</t>
        </is>
      </c>
      <c r="H18" s="14" t="n">
        <v>3</v>
      </c>
      <c r="I18" s="15" t="inlineStr">
        <is>
          <t>TPC-016</t>
        </is>
      </c>
      <c r="J18" s="15" t="inlineStr">
        <is>
          <t>Sprint 1</t>
        </is>
      </c>
      <c r="K18" s="15" t="inlineStr">
        <is>
          <t>Backend</t>
        </is>
      </c>
      <c r="L18" s="22" t="inlineStr">
        <is>
          <t>To Do</t>
        </is>
      </c>
      <c r="M18" s="15" t="inlineStr">
        <is>
          <t>Low</t>
        </is>
      </c>
      <c r="N18" s="15" t="inlineStr">
        <is>
          <t>Flujo 2 y 3.</t>
        </is>
      </c>
    </row>
    <row r="19" ht="24" customHeight="1">
      <c r="A19" s="15" t="inlineStr">
        <is>
          <t>TPC-018</t>
        </is>
      </c>
      <c r="B19" s="15" t="inlineStr">
        <is>
          <t>Wallet Core</t>
        </is>
      </c>
      <c r="C19" s="15" t="inlineStr">
        <is>
          <t>Movements</t>
        </is>
      </c>
      <c r="D19" s="15" t="inlineStr">
        <is>
          <t>Story</t>
        </is>
      </c>
      <c r="E19" s="15" t="inlineStr">
        <is>
          <t>Como usuario quiero ver movimientos con filtros.</t>
        </is>
      </c>
      <c r="F19" s="15" t="inlineStr">
        <is>
          <t>Timeline con tipo, monto, estado y referencia.</t>
        </is>
      </c>
      <c r="G19" s="21" t="inlineStr">
        <is>
          <t>Critical</t>
        </is>
      </c>
      <c r="H19" s="14" t="n">
        <v>5</v>
      </c>
      <c r="I19" s="15" t="inlineStr">
        <is>
          <t>TPC-016</t>
        </is>
      </c>
      <c r="J19" s="15" t="inlineStr">
        <is>
          <t>Sprint 1</t>
        </is>
      </c>
      <c r="K19" s="15" t="inlineStr">
        <is>
          <t>Backend</t>
        </is>
      </c>
      <c r="L19" s="22" t="inlineStr">
        <is>
          <t>To Do</t>
        </is>
      </c>
      <c r="M19" s="15" t="inlineStr">
        <is>
          <t>Low</t>
        </is>
      </c>
      <c r="N19" s="15" t="inlineStr">
        <is>
          <t>Flujo 2.</t>
        </is>
      </c>
    </row>
    <row r="20" ht="24" customHeight="1">
      <c r="A20" s="15" t="inlineStr">
        <is>
          <t>TPC-019</t>
        </is>
      </c>
      <c r="B20" s="15" t="inlineStr">
        <is>
          <t>Wallet Core</t>
        </is>
      </c>
      <c r="C20" s="15" t="inlineStr">
        <is>
          <t>Internal transfers</t>
        </is>
      </c>
      <c r="D20" s="15" t="inlineStr">
        <is>
          <t>Story</t>
        </is>
      </c>
      <c r="E20" s="15" t="inlineStr">
        <is>
          <t>Como usuario quiero mover dinero entre subwallets con trazabilidad.</t>
        </is>
      </c>
      <c r="F20" s="15" t="inlineStr">
        <is>
          <t>Transferencia interna con validaciones, confirmación y evento auditado.</t>
        </is>
      </c>
      <c r="G20" s="21" t="inlineStr">
        <is>
          <t>Critical</t>
        </is>
      </c>
      <c r="H20" s="14" t="n">
        <v>8</v>
      </c>
      <c r="I20" s="15" t="inlineStr">
        <is>
          <t>TPC-017,TPC-018,TPC-033</t>
        </is>
      </c>
      <c r="J20" s="15" t="inlineStr">
        <is>
          <t>Sprint 1</t>
        </is>
      </c>
      <c r="K20" s="15" t="inlineStr">
        <is>
          <t>Backend</t>
        </is>
      </c>
      <c r="L20" s="22" t="inlineStr">
        <is>
          <t>To Do</t>
        </is>
      </c>
      <c r="M20" s="15" t="inlineStr">
        <is>
          <t>Med</t>
        </is>
      </c>
      <c r="N20" s="15" t="inlineStr">
        <is>
          <t>Flujo 2 y 5.</t>
        </is>
      </c>
    </row>
    <row r="21" ht="24" customHeight="1">
      <c r="A21" s="15" t="inlineStr">
        <is>
          <t>TPC-020</t>
        </is>
      </c>
      <c r="B21" s="15" t="inlineStr">
        <is>
          <t>Wallet Core</t>
        </is>
      </c>
      <c r="C21" s="15" t="inlineStr">
        <is>
          <t>Beneficiaries</t>
        </is>
      </c>
      <c r="D21" s="15" t="inlineStr">
        <is>
          <t>Story</t>
        </is>
      </c>
      <c r="E21" s="15" t="inlineStr">
        <is>
          <t>Como usuario quiero registrar beneficiarios frecuentes para operar más rápido.</t>
        </is>
      </c>
      <c r="F21" s="15" t="inlineStr">
        <is>
          <t>Alta, validación y lista de beneficiarios.</t>
        </is>
      </c>
      <c r="G21" s="23" t="inlineStr">
        <is>
          <t>High</t>
        </is>
      </c>
      <c r="H21" s="14" t="n">
        <v>3</v>
      </c>
      <c r="I21" s="15" t="inlineStr">
        <is>
          <t>TPC-016</t>
        </is>
      </c>
      <c r="J21" s="15" t="inlineStr">
        <is>
          <t>Sprint 1</t>
        </is>
      </c>
      <c r="K21" s="15" t="inlineStr">
        <is>
          <t>Backend</t>
        </is>
      </c>
      <c r="L21" s="22" t="inlineStr">
        <is>
          <t>To Do</t>
        </is>
      </c>
      <c r="M21" s="15" t="inlineStr">
        <is>
          <t>Low</t>
        </is>
      </c>
      <c r="N21" s="15" t="inlineStr">
        <is>
          <t>Reuso en transferencias.</t>
        </is>
      </c>
    </row>
    <row r="22" ht="24" customHeight="1">
      <c r="A22" s="15" t="inlineStr">
        <is>
          <t>TPC-021</t>
        </is>
      </c>
      <c r="B22" s="15" t="inlineStr">
        <is>
          <t>Wallet Core</t>
        </is>
      </c>
      <c r="C22" s="15" t="inlineStr">
        <is>
          <t>Deposit/withdraw requests</t>
        </is>
      </c>
      <c r="D22" s="15" t="inlineStr">
        <is>
          <t>Story</t>
        </is>
      </c>
      <c r="E22" s="15" t="inlineStr">
        <is>
          <t>Como usuario quiero solicitar depósitos o retiros para operar sin salir.</t>
        </is>
      </c>
      <c r="F22" s="15" t="inlineStr">
        <is>
          <t>Captura de solicitud, estado y trazabilidad.</t>
        </is>
      </c>
      <c r="G22" s="23" t="inlineStr">
        <is>
          <t>High</t>
        </is>
      </c>
      <c r="H22" s="14" t="n">
        <v>5</v>
      </c>
      <c r="I22" s="15" t="inlineStr">
        <is>
          <t>TPC-017,TPC-034</t>
        </is>
      </c>
      <c r="J22" s="15" t="inlineStr">
        <is>
          <t>Sprint 1</t>
        </is>
      </c>
      <c r="K22" s="15" t="inlineStr">
        <is>
          <t>Backend</t>
        </is>
      </c>
      <c r="L22" s="22" t="inlineStr">
        <is>
          <t>To Do</t>
        </is>
      </c>
      <c r="M22" s="15" t="inlineStr">
        <is>
          <t>Med</t>
        </is>
      </c>
      <c r="N22" s="15" t="inlineStr">
        <is>
          <t>Puede arrancar como instrucción, no ejecución real.</t>
        </is>
      </c>
    </row>
    <row r="23" ht="24" customHeight="1">
      <c r="A23" s="15" t="inlineStr">
        <is>
          <t>TPC-022</t>
        </is>
      </c>
      <c r="B23" s="15" t="inlineStr">
        <is>
          <t>Wallet Core</t>
        </is>
      </c>
      <c r="C23" s="15" t="inlineStr">
        <is>
          <t>Threshold policy</t>
        </is>
      </c>
      <c r="D23" s="15" t="inlineStr">
        <is>
          <t>Story</t>
        </is>
      </c>
      <c r="E23" s="15" t="inlineStr">
        <is>
          <t>Como owner quiero bloquear montos altos sin autorización expresa.</t>
        </is>
      </c>
      <c r="F23" s="15" t="inlineStr">
        <is>
          <t>Política por umbral configurable aplicada a movimientos.</t>
        </is>
      </c>
      <c r="G23" s="21" t="inlineStr">
        <is>
          <t>Critical</t>
        </is>
      </c>
      <c r="H23" s="14" t="n">
        <v>5</v>
      </c>
      <c r="I23" s="15" t="inlineStr">
        <is>
          <t>TPC-033,TPC-034</t>
        </is>
      </c>
      <c r="J23" s="15" t="inlineStr">
        <is>
          <t>Sprint 1</t>
        </is>
      </c>
      <c r="K23" s="15" t="inlineStr">
        <is>
          <t>Backend</t>
        </is>
      </c>
      <c r="L23" s="22" t="inlineStr">
        <is>
          <t>To Do</t>
        </is>
      </c>
      <c r="M23" s="15" t="inlineStr">
        <is>
          <t>High</t>
        </is>
      </c>
      <c r="N23" s="15" t="inlineStr">
        <is>
          <t>Flujo 3 y 5.</t>
        </is>
      </c>
    </row>
    <row r="24" ht="24" customHeight="1">
      <c r="A24" s="15" t="inlineStr">
        <is>
          <t>TPC-023</t>
        </is>
      </c>
      <c r="B24" s="15" t="inlineStr">
        <is>
          <t>Mr. Shark</t>
        </is>
      </c>
      <c r="C24" s="15" t="inlineStr">
        <is>
          <t>Command intake</t>
        </is>
      </c>
      <c r="D24" s="15" t="inlineStr">
        <is>
          <t>Story</t>
        </is>
      </c>
      <c r="E24" s="15" t="inlineStr">
        <is>
          <t>Como ejecutivo quiero escribirle a Mr. Shark por WhatsApp y obtener acción o respuesta útil.</t>
        </is>
      </c>
      <c r="F24" s="15" t="inlineStr">
        <is>
          <t>Webhook recibe mensaje, lo clasifica y responde.</t>
        </is>
      </c>
      <c r="G24" s="21" t="inlineStr">
        <is>
          <t>Critical</t>
        </is>
      </c>
      <c r="H24" s="14" t="n">
        <v>8</v>
      </c>
      <c r="I24" s="15" t="inlineStr">
        <is>
          <t>TPC-004</t>
        </is>
      </c>
      <c r="J24" s="15" t="inlineStr">
        <is>
          <t>Sprint 1</t>
        </is>
      </c>
      <c r="K24" s="15" t="inlineStr">
        <is>
          <t>Backend</t>
        </is>
      </c>
      <c r="L24" s="22" t="inlineStr">
        <is>
          <t>To Do</t>
        </is>
      </c>
      <c r="M24" s="15" t="inlineStr">
        <is>
          <t>Med</t>
        </is>
      </c>
      <c r="N24" s="15" t="inlineStr">
        <is>
          <t>Flujo 3.</t>
        </is>
      </c>
    </row>
    <row r="25" ht="24" customHeight="1">
      <c r="A25" s="15" t="inlineStr">
        <is>
          <t>TPC-024</t>
        </is>
      </c>
      <c r="B25" s="15" t="inlineStr">
        <is>
          <t>Mr. Shark</t>
        </is>
      </c>
      <c r="C25" s="15" t="inlineStr">
        <is>
          <t>Intent catalog</t>
        </is>
      </c>
      <c r="D25" s="15" t="inlineStr">
        <is>
          <t>Story</t>
        </is>
      </c>
      <c r="E25" s="15" t="inlineStr">
        <is>
          <t>Como producto quiero un catálogo controlado de comandos día 1.</t>
        </is>
      </c>
      <c r="F25" s="15" t="inlineStr">
        <is>
          <t>Intenciones soportadas: liquidez, transferir, portafolio, órdenes a Capataz, approvals, thresholds.</t>
        </is>
      </c>
      <c r="G25" s="21" t="inlineStr">
        <is>
          <t>Critical</t>
        </is>
      </c>
      <c r="H25" s="14" t="n">
        <v>5</v>
      </c>
      <c r="I25" s="15" t="inlineStr">
        <is>
          <t>TPC-023,TPC-001</t>
        </is>
      </c>
      <c r="J25" s="15" t="inlineStr">
        <is>
          <t>Sprint 1</t>
        </is>
      </c>
      <c r="K25" s="15" t="inlineStr">
        <is>
          <t>PO/AI</t>
        </is>
      </c>
      <c r="L25" s="22" t="inlineStr">
        <is>
          <t>To Do</t>
        </is>
      </c>
      <c r="M25" s="15" t="inlineStr">
        <is>
          <t>Low</t>
        </is>
      </c>
      <c r="N25" s="15" t="inlineStr">
        <is>
          <t>Evitar ambigüedad.</t>
        </is>
      </c>
    </row>
    <row r="26" ht="24" customHeight="1">
      <c r="A26" s="15" t="inlineStr">
        <is>
          <t>TPC-025</t>
        </is>
      </c>
      <c r="B26" s="15" t="inlineStr">
        <is>
          <t>Mr. Shark</t>
        </is>
      </c>
      <c r="C26" s="15" t="inlineStr">
        <is>
          <t>Context &amp; memory</t>
        </is>
      </c>
      <c r="D26" s="15" t="inlineStr">
        <is>
          <t>Story</t>
        </is>
      </c>
      <c r="E26" s="15" t="inlineStr">
        <is>
          <t>Como Mr. Shark quiero recordar perfil y preferencias para responder con contexto.</t>
        </is>
      </c>
      <c r="F26" s="15" t="inlineStr">
        <is>
          <t>Memoria de usuario, organización, perfil de riesgo y últimas acciones.</t>
        </is>
      </c>
      <c r="G26" s="23" t="inlineStr">
        <is>
          <t>High</t>
        </is>
      </c>
      <c r="H26" s="14" t="n">
        <v>5</v>
      </c>
      <c r="I26" s="15" t="inlineStr">
        <is>
          <t>TPC-024,TPC-015</t>
        </is>
      </c>
      <c r="J26" s="15" t="inlineStr">
        <is>
          <t>Sprint 1</t>
        </is>
      </c>
      <c r="K26" s="15" t="inlineStr">
        <is>
          <t>Backend</t>
        </is>
      </c>
      <c r="L26" s="22" t="inlineStr">
        <is>
          <t>To Do</t>
        </is>
      </c>
      <c r="M26" s="15" t="inlineStr">
        <is>
          <t>Med</t>
        </is>
      </c>
      <c r="N26" s="15" t="inlineStr">
        <is>
          <t>Memoria mínima viable.</t>
        </is>
      </c>
    </row>
    <row r="27" ht="24" customHeight="1">
      <c r="A27" s="15" t="inlineStr">
        <is>
          <t>TPC-026</t>
        </is>
      </c>
      <c r="B27" s="15" t="inlineStr">
        <is>
          <t>Mr. Shark</t>
        </is>
      </c>
      <c r="C27" s="15" t="inlineStr">
        <is>
          <t>Liquidity response</t>
        </is>
      </c>
      <c r="D27" s="15" t="inlineStr">
        <is>
          <t>Story</t>
        </is>
      </c>
      <c r="E27" s="15" t="inlineStr">
        <is>
          <t>Como ejecutivo quiero pedir mi liquidez y verla al instante.</t>
        </is>
      </c>
      <c r="F27" s="15" t="inlineStr">
        <is>
          <t>Respuesta estructurada con saldo total, cuentas y alertas.</t>
        </is>
      </c>
      <c r="G27" s="21" t="inlineStr">
        <is>
          <t>Critical</t>
        </is>
      </c>
      <c r="H27" s="14" t="n">
        <v>3</v>
      </c>
      <c r="I27" s="15" t="inlineStr">
        <is>
          <t>TPC-017,TPC-023</t>
        </is>
      </c>
      <c r="J27" s="15" t="inlineStr">
        <is>
          <t>Sprint 1</t>
        </is>
      </c>
      <c r="K27" s="15" t="inlineStr">
        <is>
          <t>Backend</t>
        </is>
      </c>
      <c r="L27" s="22" t="inlineStr">
        <is>
          <t>To Do</t>
        </is>
      </c>
      <c r="M27" s="15" t="inlineStr">
        <is>
          <t>Low</t>
        </is>
      </c>
      <c r="N27" s="15" t="inlineStr">
        <is>
          <t>Comando estrella.</t>
        </is>
      </c>
    </row>
    <row r="28" ht="24" customHeight="1">
      <c r="A28" s="15" t="inlineStr">
        <is>
          <t>TPC-027</t>
        </is>
      </c>
      <c r="B28" s="15" t="inlineStr">
        <is>
          <t>Mr. Shark</t>
        </is>
      </c>
      <c r="C28" s="15" t="inlineStr">
        <is>
          <t>Transfer command</t>
        </is>
      </c>
      <c r="D28" s="15" t="inlineStr">
        <is>
          <t>Story</t>
        </is>
      </c>
      <c r="E28" s="15" t="inlineStr">
        <is>
          <t>Como ejecutivo quiero instruir una transferencia desde WhatsApp.</t>
        </is>
      </c>
      <c r="F28" s="15" t="inlineStr">
        <is>
          <t>Se crea instrucción, pide datos faltantes, aplica approvals si rebasa umbral.</t>
        </is>
      </c>
      <c r="G28" s="21" t="inlineStr">
        <is>
          <t>Critical</t>
        </is>
      </c>
      <c r="H28" s="14" t="n">
        <v>8</v>
      </c>
      <c r="I28" s="15" t="inlineStr">
        <is>
          <t>TPC-019,TPC-022,TPC-023</t>
        </is>
      </c>
      <c r="J28" s="15" t="inlineStr">
        <is>
          <t>Sprint 1</t>
        </is>
      </c>
      <c r="K28" s="15" t="inlineStr">
        <is>
          <t>Backend</t>
        </is>
      </c>
      <c r="L28" s="22" t="inlineStr">
        <is>
          <t>To Do</t>
        </is>
      </c>
      <c r="M28" s="15" t="inlineStr">
        <is>
          <t>High</t>
        </is>
      </c>
      <c r="N28" s="15" t="inlineStr">
        <is>
          <t>Debe quedar auditado.</t>
        </is>
      </c>
    </row>
    <row r="29" ht="24" customHeight="1">
      <c r="A29" s="15" t="inlineStr">
        <is>
          <t>TPC-028</t>
        </is>
      </c>
      <c r="B29" s="15" t="inlineStr">
        <is>
          <t>Mr. Shark</t>
        </is>
      </c>
      <c r="C29" s="15" t="inlineStr">
        <is>
          <t>Portfolio command</t>
        </is>
      </c>
      <c r="D29" s="15" t="inlineStr">
        <is>
          <t>Story</t>
        </is>
      </c>
      <c r="E29" s="15" t="inlineStr">
        <is>
          <t>Como ejecutivo quiero preguntar cómo va mi portafolio.</t>
        </is>
      </c>
      <c r="F29" s="15" t="inlineStr">
        <is>
          <t>Mr. Shark devuelve resumen, performance y warnings.</t>
        </is>
      </c>
      <c r="G29" s="23" t="inlineStr">
        <is>
          <t>High</t>
        </is>
      </c>
      <c r="H29" s="14" t="n">
        <v>5</v>
      </c>
      <c r="I29" s="15" t="inlineStr">
        <is>
          <t>TPC-030,TPC-031,TPC-023</t>
        </is>
      </c>
      <c r="J29" s="15" t="inlineStr">
        <is>
          <t>Sprint 1</t>
        </is>
      </c>
      <c r="K29" s="15" t="inlineStr">
        <is>
          <t>Backend</t>
        </is>
      </c>
      <c r="L29" s="22" t="inlineStr">
        <is>
          <t>To Do</t>
        </is>
      </c>
      <c r="M29" s="15" t="inlineStr">
        <is>
          <t>Med</t>
        </is>
      </c>
      <c r="N29" s="15" t="inlineStr">
        <is>
          <t>Flujo 3 y 4.</t>
        </is>
      </c>
    </row>
    <row r="30" ht="24" customHeight="1">
      <c r="A30" s="15" t="inlineStr">
        <is>
          <t>TPC-029</t>
        </is>
      </c>
      <c r="B30" s="15" t="inlineStr">
        <is>
          <t>Mr. Shark</t>
        </is>
      </c>
      <c r="C30" s="15" t="inlineStr">
        <is>
          <t>Escalation to human</t>
        </is>
      </c>
      <c r="D30" s="15" t="inlineStr">
        <is>
          <t>Story</t>
        </is>
      </c>
      <c r="E30" s="15" t="inlineStr">
        <is>
          <t>Como usuario quiero que decisiones delicadas escalen a humano.</t>
        </is>
      </c>
      <c r="F30" s="15" t="inlineStr">
        <is>
          <t>Handoff configurable por monto, riesgo o error.</t>
        </is>
      </c>
      <c r="G30" s="23" t="inlineStr">
        <is>
          <t>High</t>
        </is>
      </c>
      <c r="H30" s="14" t="n">
        <v>3</v>
      </c>
      <c r="I30" s="15" t="inlineStr">
        <is>
          <t>TPC-024,TPC-022</t>
        </is>
      </c>
      <c r="J30" s="15" t="inlineStr">
        <is>
          <t>Sprint 2</t>
        </is>
      </c>
      <c r="K30" s="15" t="inlineStr">
        <is>
          <t>Backend</t>
        </is>
      </c>
      <c r="L30" s="22" t="inlineStr">
        <is>
          <t>To Do</t>
        </is>
      </c>
      <c r="M30" s="15" t="inlineStr">
        <is>
          <t>Med</t>
        </is>
      </c>
      <c r="N30" s="15" t="inlineStr">
        <is>
          <t>Control operativo.</t>
        </is>
      </c>
    </row>
    <row r="31" ht="24" customHeight="1">
      <c r="A31" s="15" t="inlineStr">
        <is>
          <t>TPC-030</t>
        </is>
      </c>
      <c r="B31" s="15" t="inlineStr">
        <is>
          <t>Investments</t>
        </is>
      </c>
      <c r="C31" s="15" t="inlineStr">
        <is>
          <t>Portfolio summary</t>
        </is>
      </c>
      <c r="D31" s="15" t="inlineStr">
        <is>
          <t>Story</t>
        </is>
      </c>
      <c r="E31" s="15" t="inlineStr">
        <is>
          <t>Como ejecutivo quiero ver un resumen premium de posiciones y distribución.</t>
        </is>
      </c>
      <c r="F31" s="15" t="inlineStr">
        <is>
          <t>Resumen con posiciones, cash, allocation y fecha de corte.</t>
        </is>
      </c>
      <c r="G31" s="21" t="inlineStr">
        <is>
          <t>Critical</t>
        </is>
      </c>
      <c r="H31" s="14" t="n">
        <v>5</v>
      </c>
      <c r="I31" s="15" t="inlineStr">
        <is>
          <t>TPC-004</t>
        </is>
      </c>
      <c r="J31" s="15" t="inlineStr">
        <is>
          <t>Sprint 1</t>
        </is>
      </c>
      <c r="K31" s="15" t="inlineStr">
        <is>
          <t>Backend</t>
        </is>
      </c>
      <c r="L31" s="22" t="inlineStr">
        <is>
          <t>To Do</t>
        </is>
      </c>
      <c r="M31" s="15" t="inlineStr">
        <is>
          <t>Med</t>
        </is>
      </c>
      <c r="N31" s="15" t="inlineStr">
        <is>
          <t>Flujo 4.</t>
        </is>
      </c>
    </row>
    <row r="32" ht="24" customHeight="1">
      <c r="A32" s="15" t="inlineStr">
        <is>
          <t>TPC-031</t>
        </is>
      </c>
      <c r="B32" s="15" t="inlineStr">
        <is>
          <t>Investments</t>
        </is>
      </c>
      <c r="C32" s="15" t="inlineStr">
        <is>
          <t>Simple performance</t>
        </is>
      </c>
      <c r="D32" s="15" t="inlineStr">
        <is>
          <t>Story</t>
        </is>
      </c>
      <c r="E32" s="15" t="inlineStr">
        <is>
          <t>Como ejecutivo quiero ver performance simple de mi portafolio.</t>
        </is>
      </c>
      <c r="F32" s="15" t="inlineStr">
        <is>
          <t>Rendimiento simple por periodo y variación total.</t>
        </is>
      </c>
      <c r="G32" s="23" t="inlineStr">
        <is>
          <t>High</t>
        </is>
      </c>
      <c r="H32" s="14" t="n">
        <v>5</v>
      </c>
      <c r="I32" s="15" t="inlineStr">
        <is>
          <t>TPC-030</t>
        </is>
      </c>
      <c r="J32" s="15" t="inlineStr">
        <is>
          <t>Sprint 1</t>
        </is>
      </c>
      <c r="K32" s="15" t="inlineStr">
        <is>
          <t>Backend</t>
        </is>
      </c>
      <c r="L32" s="22" t="inlineStr">
        <is>
          <t>To Do</t>
        </is>
      </c>
      <c r="M32" s="15" t="inlineStr">
        <is>
          <t>Low</t>
        </is>
      </c>
      <c r="N32" s="15" t="inlineStr">
        <is>
          <t>Visualmente claro.</t>
        </is>
      </c>
    </row>
    <row r="33" ht="24" customHeight="1">
      <c r="A33" s="15" t="inlineStr">
        <is>
          <t>TPC-032</t>
        </is>
      </c>
      <c r="B33" s="15" t="inlineStr">
        <is>
          <t>Investments</t>
        </is>
      </c>
      <c r="C33" s="15" t="inlineStr">
        <is>
          <t>Risk simulations</t>
        </is>
      </c>
      <c r="D33" s="15" t="inlineStr">
        <is>
          <t>Story</t>
        </is>
      </c>
      <c r="E33" s="15" t="inlineStr">
        <is>
          <t>Como ejecutivo quiero simular conservador/balanceado/agresivo.</t>
        </is>
      </c>
      <c r="F33" s="15" t="inlineStr">
        <is>
          <t>Motor mock con escenarios y copy de disclaimer.</t>
        </is>
      </c>
      <c r="G33" s="23" t="inlineStr">
        <is>
          <t>High</t>
        </is>
      </c>
      <c r="H33" s="14" t="n">
        <v>5</v>
      </c>
      <c r="I33" s="15" t="inlineStr">
        <is>
          <t>TPC-030,TPC-015</t>
        </is>
      </c>
      <c r="J33" s="15" t="inlineStr">
        <is>
          <t>Sprint 1</t>
        </is>
      </c>
      <c r="K33" s="15" t="inlineStr">
        <is>
          <t>Backend</t>
        </is>
      </c>
      <c r="L33" s="22" t="inlineStr">
        <is>
          <t>To Do</t>
        </is>
      </c>
      <c r="M33" s="15" t="inlineStr">
        <is>
          <t>Med</t>
        </is>
      </c>
      <c r="N33" s="15" t="inlineStr">
        <is>
          <t>Flujo 4.</t>
        </is>
      </c>
    </row>
    <row r="34" ht="24" customHeight="1">
      <c r="A34" s="15" t="inlineStr">
        <is>
          <t>TPC-033</t>
        </is>
      </c>
      <c r="B34" s="15" t="inlineStr">
        <is>
          <t>Investments</t>
        </is>
      </c>
      <c r="C34" s="15" t="inlineStr">
        <is>
          <t>Order intent</t>
        </is>
      </c>
      <c r="D34" s="15" t="inlineStr">
        <is>
          <t>Story</t>
        </is>
      </c>
      <c r="E34" s="15" t="inlineStr">
        <is>
          <t>Como ejecutivo quiero crear una instrucción de orden sin romper compliance.</t>
        </is>
      </c>
      <c r="F34" s="15" t="inlineStr">
        <is>
          <t>Captura intención, no ejecuta real sin sponsor/licencia cerrada.</t>
        </is>
      </c>
      <c r="G34" s="21" t="inlineStr">
        <is>
          <t>Critical</t>
        </is>
      </c>
      <c r="H34" s="14" t="n">
        <v>5</v>
      </c>
      <c r="I34" s="15" t="inlineStr">
        <is>
          <t>TPC-030,TPC-006</t>
        </is>
      </c>
      <c r="J34" s="15" t="inlineStr">
        <is>
          <t>Sprint 1</t>
        </is>
      </c>
      <c r="K34" s="15" t="inlineStr">
        <is>
          <t>Backend</t>
        </is>
      </c>
      <c r="L34" s="22" t="inlineStr">
        <is>
          <t>To Do</t>
        </is>
      </c>
      <c r="M34" s="15" t="inlineStr">
        <is>
          <t>High</t>
        </is>
      </c>
      <c r="N34" s="15" t="inlineStr">
        <is>
          <t>Claim controlado.</t>
        </is>
      </c>
    </row>
    <row r="35" ht="24" customHeight="1">
      <c r="A35" s="15" t="inlineStr">
        <is>
          <t>TPC-034</t>
        </is>
      </c>
      <c r="B35" s="15" t="inlineStr">
        <is>
          <t>Investments</t>
        </is>
      </c>
      <c r="C35" s="15" t="inlineStr">
        <is>
          <t>Broker connector mock</t>
        </is>
      </c>
      <c r="D35" s="15" t="inlineStr">
        <is>
          <t>Story</t>
        </is>
      </c>
      <c r="E35" s="15" t="inlineStr">
        <is>
          <t>Como equipo quiero adapter mock para demostrar integración sin riesgo regulatorio.</t>
        </is>
      </c>
      <c r="F35" s="15" t="inlineStr">
        <is>
          <t>Adapter stub para tastytrade/Apex con respuestas fake-controladas.</t>
        </is>
      </c>
      <c r="G35" s="21" t="inlineStr">
        <is>
          <t>Critical</t>
        </is>
      </c>
      <c r="H35" s="14" t="n">
        <v>8</v>
      </c>
      <c r="I35" s="15" t="inlineStr">
        <is>
          <t>TPC-009</t>
        </is>
      </c>
      <c r="J35" s="15" t="inlineStr">
        <is>
          <t>Sprint 1</t>
        </is>
      </c>
      <c r="K35" s="15" t="inlineStr">
        <is>
          <t>Backend</t>
        </is>
      </c>
      <c r="L35" s="22" t="inlineStr">
        <is>
          <t>To Do</t>
        </is>
      </c>
      <c r="M35" s="15" t="inlineStr">
        <is>
          <t>Med</t>
        </is>
      </c>
      <c r="N35" s="15" t="inlineStr">
        <is>
          <t>Permite demo.</t>
        </is>
      </c>
    </row>
    <row r="36" ht="24" customHeight="1">
      <c r="A36" s="15" t="inlineStr">
        <is>
          <t>TPC-035</t>
        </is>
      </c>
      <c r="B36" s="15" t="inlineStr">
        <is>
          <t>Investments</t>
        </is>
      </c>
      <c r="C36" s="15" t="inlineStr">
        <is>
          <t>tastytrade sandbox connector</t>
        </is>
      </c>
      <c r="D36" s="15" t="inlineStr">
        <is>
          <t>Story</t>
        </is>
      </c>
      <c r="E36" s="15" t="inlineStr">
        <is>
          <t>Como equipo quiero conector sandbox real para demostrar API broker.</t>
        </is>
      </c>
      <c r="F36" s="15" t="inlineStr">
        <is>
          <t>Autenticación sandbox, lectura de posiciones y prueba controlada.</t>
        </is>
      </c>
      <c r="G36" s="23" t="inlineStr">
        <is>
          <t>High</t>
        </is>
      </c>
      <c r="H36" s="14" t="n">
        <v>8</v>
      </c>
      <c r="I36" s="15" t="inlineStr">
        <is>
          <t>TPC-034</t>
        </is>
      </c>
      <c r="J36" s="15" t="inlineStr">
        <is>
          <t>Sprint 2</t>
        </is>
      </c>
      <c r="K36" s="15" t="inlineStr">
        <is>
          <t>Backend</t>
        </is>
      </c>
      <c r="L36" s="22" t="inlineStr">
        <is>
          <t>To Do</t>
        </is>
      </c>
      <c r="M36" s="15" t="inlineStr">
        <is>
          <t>High</t>
        </is>
      </c>
      <c r="N36" s="15" t="inlineStr">
        <is>
          <t>Meta de semana 2.</t>
        </is>
      </c>
    </row>
    <row r="37" ht="24" customHeight="1">
      <c r="A37" s="15" t="inlineStr">
        <is>
          <t>TPC-036</t>
        </is>
      </c>
      <c r="B37" s="15" t="inlineStr">
        <is>
          <t>Investments</t>
        </is>
      </c>
      <c r="C37" s="15" t="inlineStr">
        <is>
          <t>Apex discovery package</t>
        </is>
      </c>
      <c r="D37" s="15" t="inlineStr">
        <is>
          <t>Story</t>
        </is>
      </c>
      <c r="E37" s="15" t="inlineStr">
        <is>
          <t>Como sponsor quiero una ruta enterprise clara hacia Apex.</t>
        </is>
      </c>
      <c r="F37" s="15" t="inlineStr">
        <is>
          <t>Lista de requisitos, contactos, gaps y plan de integración.</t>
        </is>
      </c>
      <c r="G37" s="24" t="inlineStr">
        <is>
          <t>Medium</t>
        </is>
      </c>
      <c r="H37" s="14" t="n">
        <v>3</v>
      </c>
      <c r="I37" s="15" t="inlineStr">
        <is>
          <t>TPC-009</t>
        </is>
      </c>
      <c r="J37" s="15" t="inlineStr">
        <is>
          <t>Sprint 2</t>
        </is>
      </c>
      <c r="K37" s="15" t="inlineStr">
        <is>
          <t>PO</t>
        </is>
      </c>
      <c r="L37" s="22" t="inlineStr">
        <is>
          <t>To Do</t>
        </is>
      </c>
      <c r="M37" s="15" t="inlineStr">
        <is>
          <t>Med</t>
        </is>
      </c>
      <c r="N37" s="15" t="inlineStr">
        <is>
          <t>Preparar Fase 2.</t>
        </is>
      </c>
    </row>
    <row r="38" ht="24" customHeight="1">
      <c r="A38" s="15" t="inlineStr">
        <is>
          <t>TPC-037</t>
        </is>
      </c>
      <c r="B38" s="15" t="inlineStr">
        <is>
          <t>Approvals</t>
        </is>
      </c>
      <c r="C38" s="15" t="inlineStr">
        <is>
          <t>Approval object</t>
        </is>
      </c>
      <c r="D38" s="15" t="inlineStr">
        <is>
          <t>Story</t>
        </is>
      </c>
      <c r="E38" s="15" t="inlineStr">
        <is>
          <t>Como sistema quiero modelar approvals para cualquier instrucción sensible.</t>
        </is>
      </c>
      <c r="F38" s="15" t="inlineStr">
        <is>
          <t>Entidad approval con estados, actor, timestamps y motivo.</t>
        </is>
      </c>
      <c r="G38" s="21" t="inlineStr">
        <is>
          <t>Critical</t>
        </is>
      </c>
      <c r="H38" s="14" t="n">
        <v>5</v>
      </c>
      <c r="I38" s="15" t="inlineStr">
        <is>
          <t>TPC-004</t>
        </is>
      </c>
      <c r="J38" s="15" t="inlineStr">
        <is>
          <t>Sprint 1</t>
        </is>
      </c>
      <c r="K38" s="15" t="inlineStr">
        <is>
          <t>Backend</t>
        </is>
      </c>
      <c r="L38" s="22" t="inlineStr">
        <is>
          <t>To Do</t>
        </is>
      </c>
      <c r="M38" s="15" t="inlineStr">
        <is>
          <t>Low</t>
        </is>
      </c>
      <c r="N38" s="15" t="inlineStr">
        <is>
          <t>Flujo 5.</t>
        </is>
      </c>
    </row>
    <row r="39" ht="24" customHeight="1">
      <c r="A39" s="15" t="inlineStr">
        <is>
          <t>TPC-038</t>
        </is>
      </c>
      <c r="B39" s="15" t="inlineStr">
        <is>
          <t>Approvals</t>
        </is>
      </c>
      <c r="C39" s="15" t="inlineStr">
        <is>
          <t>Approval policies</t>
        </is>
      </c>
      <c r="D39" s="15" t="inlineStr">
        <is>
          <t>Story</t>
        </is>
      </c>
      <c r="E39" s="15" t="inlineStr">
        <is>
          <t>Como owner quiero reglas por monto, acción y rol.</t>
        </is>
      </c>
      <c r="F39" s="15" t="inlineStr">
        <is>
          <t>Políticas configurables y legibles.</t>
        </is>
      </c>
      <c r="G39" s="21" t="inlineStr">
        <is>
          <t>Critical</t>
        </is>
      </c>
      <c r="H39" s="14" t="n">
        <v>5</v>
      </c>
      <c r="I39" s="15" t="inlineStr">
        <is>
          <t>TPC-037,TPC-022</t>
        </is>
      </c>
      <c r="J39" s="15" t="inlineStr">
        <is>
          <t>Sprint 1</t>
        </is>
      </c>
      <c r="K39" s="15" t="inlineStr">
        <is>
          <t>Backend</t>
        </is>
      </c>
      <c r="L39" s="22" t="inlineStr">
        <is>
          <t>To Do</t>
        </is>
      </c>
      <c r="M39" s="15" t="inlineStr">
        <is>
          <t>Med</t>
        </is>
      </c>
      <c r="N39" s="15" t="inlineStr">
        <is>
          <t>Base de seguridad.</t>
        </is>
      </c>
    </row>
    <row r="40" ht="24" customHeight="1">
      <c r="A40" s="15" t="inlineStr">
        <is>
          <t>TPC-039</t>
        </is>
      </c>
      <c r="B40" s="15" t="inlineStr">
        <is>
          <t>Approvals</t>
        </is>
      </c>
      <c r="C40" s="15" t="inlineStr">
        <is>
          <t>Approval inbox</t>
        </is>
      </c>
      <c r="D40" s="15" t="inlineStr">
        <is>
          <t>Story</t>
        </is>
      </c>
      <c r="E40" s="15" t="inlineStr">
        <is>
          <t>Como owner quiero ver pendientes y resolverlos rápido.</t>
        </is>
      </c>
      <c r="F40" s="15" t="inlineStr">
        <is>
          <t>Vista de pendientes, detalle y decisión aprobar/rechazar.</t>
        </is>
      </c>
      <c r="G40" s="21" t="inlineStr">
        <is>
          <t>Critical</t>
        </is>
      </c>
      <c r="H40" s="14" t="n">
        <v>5</v>
      </c>
      <c r="I40" s="15" t="inlineStr">
        <is>
          <t>TPC-037</t>
        </is>
      </c>
      <c r="J40" s="15" t="inlineStr">
        <is>
          <t>Sprint 1</t>
        </is>
      </c>
      <c r="K40" s="15" t="inlineStr">
        <is>
          <t>Frontend</t>
        </is>
      </c>
      <c r="L40" s="22" t="inlineStr">
        <is>
          <t>To Do</t>
        </is>
      </c>
      <c r="M40" s="15" t="inlineStr">
        <is>
          <t>Low</t>
        </is>
      </c>
      <c r="N40" s="15" t="inlineStr">
        <is>
          <t>Flujo 5.</t>
        </is>
      </c>
    </row>
    <row r="41" ht="24" customHeight="1">
      <c r="A41" s="15" t="inlineStr">
        <is>
          <t>TPC-040</t>
        </is>
      </c>
      <c r="B41" s="15" t="inlineStr">
        <is>
          <t>Approvals</t>
        </is>
      </c>
      <c r="C41" s="15" t="inlineStr">
        <is>
          <t>Approval notifications</t>
        </is>
      </c>
      <c r="D41" s="15" t="inlineStr">
        <is>
          <t>Story</t>
        </is>
      </c>
      <c r="E41" s="15" t="inlineStr">
        <is>
          <t>Como usuario quiero enterarme de approvals pendientes.</t>
        </is>
      </c>
      <c r="F41" s="15" t="inlineStr">
        <is>
          <t>Notificación en app y canal conversacional.</t>
        </is>
      </c>
      <c r="G41" s="23" t="inlineStr">
        <is>
          <t>High</t>
        </is>
      </c>
      <c r="H41" s="14" t="n">
        <v>3</v>
      </c>
      <c r="I41" s="15" t="inlineStr">
        <is>
          <t>TPC-039,TPC-023</t>
        </is>
      </c>
      <c r="J41" s="15" t="inlineStr">
        <is>
          <t>Sprint 1</t>
        </is>
      </c>
      <c r="K41" s="15" t="inlineStr">
        <is>
          <t>Frontend</t>
        </is>
      </c>
      <c r="L41" s="22" t="inlineStr">
        <is>
          <t>To Do</t>
        </is>
      </c>
      <c r="M41" s="15" t="inlineStr">
        <is>
          <t>Low</t>
        </is>
      </c>
      <c r="N41" s="15" t="inlineStr">
        <is>
          <t>Tiempo real mock.</t>
        </is>
      </c>
    </row>
    <row r="42" ht="24" customHeight="1">
      <c r="A42" s="15" t="inlineStr">
        <is>
          <t>TPC-041</t>
        </is>
      </c>
      <c r="B42" s="15" t="inlineStr">
        <is>
          <t>Audit</t>
        </is>
      </c>
      <c r="C42" s="15" t="inlineStr">
        <is>
          <t>Audit event stream</t>
        </is>
      </c>
      <c r="D42" s="15" t="inlineStr">
        <is>
          <t>Story</t>
        </is>
      </c>
      <c r="E42" s="15" t="inlineStr">
        <is>
          <t>Como compliance quiero ver quién pidió, quién aprobó y cuándo.</t>
        </is>
      </c>
      <c r="F42" s="15" t="inlineStr">
        <is>
          <t>Eventos de money movement, approvals y comandos conversacionales.</t>
        </is>
      </c>
      <c r="G42" s="21" t="inlineStr">
        <is>
          <t>Critical</t>
        </is>
      </c>
      <c r="H42" s="14" t="n">
        <v>5</v>
      </c>
      <c r="I42" s="15" t="inlineStr">
        <is>
          <t>TPC-010,TPC-037</t>
        </is>
      </c>
      <c r="J42" s="15" t="inlineStr">
        <is>
          <t>Sprint 1</t>
        </is>
      </c>
      <c r="K42" s="15" t="inlineStr">
        <is>
          <t>Backend</t>
        </is>
      </c>
      <c r="L42" s="22" t="inlineStr">
        <is>
          <t>To Do</t>
        </is>
      </c>
      <c r="M42" s="15" t="inlineStr">
        <is>
          <t>Med</t>
        </is>
      </c>
      <c r="N42" s="15" t="inlineStr">
        <is>
          <t>Flujo 5.</t>
        </is>
      </c>
    </row>
    <row r="43" ht="24" customHeight="1">
      <c r="A43" s="15" t="inlineStr">
        <is>
          <t>TPC-042</t>
        </is>
      </c>
      <c r="B43" s="15" t="inlineStr">
        <is>
          <t>Audit</t>
        </is>
      </c>
      <c r="C43" s="15" t="inlineStr">
        <is>
          <t>Immutable timeline view</t>
        </is>
      </c>
      <c r="D43" s="15" t="inlineStr">
        <is>
          <t>Story</t>
        </is>
      </c>
      <c r="E43" s="15" t="inlineStr">
        <is>
          <t>Como ejecutivo quiero una línea de tiempo confiable de actividad reciente.</t>
        </is>
      </c>
      <c r="F43" s="15" t="inlineStr">
        <is>
          <t>Timeline consolidado en dashboard.</t>
        </is>
      </c>
      <c r="G43" s="23" t="inlineStr">
        <is>
          <t>High</t>
        </is>
      </c>
      <c r="H43" s="14" t="n">
        <v>3</v>
      </c>
      <c r="I43" s="15" t="inlineStr">
        <is>
          <t>TPC-041</t>
        </is>
      </c>
      <c r="J43" s="15" t="inlineStr">
        <is>
          <t>Sprint 1</t>
        </is>
      </c>
      <c r="K43" s="15" t="inlineStr">
        <is>
          <t>Frontend</t>
        </is>
      </c>
      <c r="L43" s="22" t="inlineStr">
        <is>
          <t>To Do</t>
        </is>
      </c>
      <c r="M43" s="15" t="inlineStr">
        <is>
          <t>Low</t>
        </is>
      </c>
      <c r="N43" s="15" t="inlineStr">
        <is>
          <t>Flujo 6.</t>
        </is>
      </c>
    </row>
    <row r="44" ht="24" customHeight="1">
      <c r="A44" s="15" t="inlineStr">
        <is>
          <t>TPC-043</t>
        </is>
      </c>
      <c r="B44" s="15" t="inlineStr">
        <is>
          <t>Capataz AI</t>
        </is>
      </c>
      <c r="C44" s="15" t="inlineStr">
        <is>
          <t>Task creation</t>
        </is>
      </c>
      <c r="D44" s="15" t="inlineStr">
        <is>
          <t>Story</t>
        </is>
      </c>
      <c r="E44" s="15" t="inlineStr">
        <is>
          <t>Como owner quiero crear tareas operativas desde la consola o WhatsApp.</t>
        </is>
      </c>
      <c r="F44" s="15" t="inlineStr">
        <is>
          <t>Alta de tarea con responsable, fecha y prioridad.</t>
        </is>
      </c>
      <c r="G44" s="23" t="inlineStr">
        <is>
          <t>High</t>
        </is>
      </c>
      <c r="H44" s="14" t="n">
        <v>5</v>
      </c>
      <c r="I44" s="15" t="inlineStr">
        <is>
          <t>TPC-014,TPC-023</t>
        </is>
      </c>
      <c r="J44" s="15" t="inlineStr">
        <is>
          <t>Sprint 1</t>
        </is>
      </c>
      <c r="K44" s="15" t="inlineStr">
        <is>
          <t>Backend</t>
        </is>
      </c>
      <c r="L44" s="22" t="inlineStr">
        <is>
          <t>To Do</t>
        </is>
      </c>
      <c r="M44" s="15" t="inlineStr">
        <is>
          <t>Low</t>
        </is>
      </c>
      <c r="N44" s="15" t="inlineStr">
        <is>
          <t>Flujo 3 y 6.</t>
        </is>
      </c>
    </row>
    <row r="45" ht="24" customHeight="1">
      <c r="A45" s="15" t="inlineStr">
        <is>
          <t>TPC-044</t>
        </is>
      </c>
      <c r="B45" s="15" t="inlineStr">
        <is>
          <t>Capataz AI</t>
        </is>
      </c>
      <c r="C45" s="15" t="inlineStr">
        <is>
          <t>Assignment routing</t>
        </is>
      </c>
      <c r="D45" s="15" t="inlineStr">
        <is>
          <t>Story</t>
        </is>
      </c>
      <c r="E45" s="15" t="inlineStr">
        <is>
          <t>Como Capataz quiero enrutar tareas al staff correcto.</t>
        </is>
      </c>
      <c r="F45" s="15" t="inlineStr">
        <is>
          <t>Reglas básicas por área/rol y fallback manual.</t>
        </is>
      </c>
      <c r="G45" s="23" t="inlineStr">
        <is>
          <t>High</t>
        </is>
      </c>
      <c r="H45" s="14" t="n">
        <v>5</v>
      </c>
      <c r="I45" s="15" t="inlineStr">
        <is>
          <t>TPC-043</t>
        </is>
      </c>
      <c r="J45" s="15" t="inlineStr">
        <is>
          <t>Sprint 1</t>
        </is>
      </c>
      <c r="K45" s="15" t="inlineStr">
        <is>
          <t>Backend</t>
        </is>
      </c>
      <c r="L45" s="22" t="inlineStr">
        <is>
          <t>To Do</t>
        </is>
      </c>
      <c r="M45" s="15" t="inlineStr">
        <is>
          <t>Med</t>
        </is>
      </c>
      <c r="N45" s="15" t="inlineStr">
        <is>
          <t>Motor simple.</t>
        </is>
      </c>
    </row>
    <row r="46" ht="24" customHeight="1">
      <c r="A46" s="15" t="inlineStr">
        <is>
          <t>TPC-045</t>
        </is>
      </c>
      <c r="B46" s="15" t="inlineStr">
        <is>
          <t>Capataz AI</t>
        </is>
      </c>
      <c r="C46" s="15" t="inlineStr">
        <is>
          <t>Reminders</t>
        </is>
      </c>
      <c r="D46" s="15" t="inlineStr">
        <is>
          <t>Story</t>
        </is>
      </c>
      <c r="E46" s="15" t="inlineStr">
        <is>
          <t>Como owner quiero reminders automáticos de tareas críticas.</t>
        </is>
      </c>
      <c r="F46" s="15" t="inlineStr">
        <is>
          <t>Recordatorios programados y estados vencido/en curso.</t>
        </is>
      </c>
      <c r="G46" s="23" t="inlineStr">
        <is>
          <t>High</t>
        </is>
      </c>
      <c r="H46" s="14" t="n">
        <v>3</v>
      </c>
      <c r="I46" s="15" t="inlineStr">
        <is>
          <t>TPC-043</t>
        </is>
      </c>
      <c r="J46" s="15" t="inlineStr">
        <is>
          <t>Sprint 1</t>
        </is>
      </c>
      <c r="K46" s="15" t="inlineStr">
        <is>
          <t>Backend</t>
        </is>
      </c>
      <c r="L46" s="22" t="inlineStr">
        <is>
          <t>To Do</t>
        </is>
      </c>
      <c r="M46" s="15" t="inlineStr">
        <is>
          <t>Low</t>
        </is>
      </c>
      <c r="N46" s="15" t="inlineStr">
        <is>
          <t>Operación visible.</t>
        </is>
      </c>
    </row>
    <row r="47" ht="24" customHeight="1">
      <c r="A47" s="15" t="inlineStr">
        <is>
          <t>TPC-046</t>
        </is>
      </c>
      <c r="B47" s="15" t="inlineStr">
        <is>
          <t>Capataz AI</t>
        </is>
      </c>
      <c r="C47" s="15" t="inlineStr">
        <is>
          <t>Workflow status</t>
        </is>
      </c>
      <c r="D47" s="15" t="inlineStr">
        <is>
          <t>Story</t>
        </is>
      </c>
      <c r="E47" s="15" t="inlineStr">
        <is>
          <t>Como owner quiero ver estatus de workflows sin perseguir a nadie.</t>
        </is>
      </c>
      <c r="F47" s="15" t="inlineStr">
        <is>
          <t>Estados por tarea y resumen por responsable.</t>
        </is>
      </c>
      <c r="G47" s="23" t="inlineStr">
        <is>
          <t>High</t>
        </is>
      </c>
      <c r="H47" s="14" t="n">
        <v>5</v>
      </c>
      <c r="I47" s="15" t="inlineStr">
        <is>
          <t>TPC-044</t>
        </is>
      </c>
      <c r="J47" s="15" t="inlineStr">
        <is>
          <t>Sprint 1</t>
        </is>
      </c>
      <c r="K47" s="15" t="inlineStr">
        <is>
          <t>Backend</t>
        </is>
      </c>
      <c r="L47" s="22" t="inlineStr">
        <is>
          <t>To Do</t>
        </is>
      </c>
      <c r="M47" s="15" t="inlineStr">
        <is>
          <t>Low</t>
        </is>
      </c>
      <c r="N47" s="15" t="inlineStr">
        <is>
          <t>Flujo 6.</t>
        </is>
      </c>
    </row>
    <row r="48" ht="24" customHeight="1">
      <c r="A48" s="15" t="inlineStr">
        <is>
          <t>TPC-047</t>
        </is>
      </c>
      <c r="B48" s="15" t="inlineStr">
        <is>
          <t>Capataz AI</t>
        </is>
      </c>
      <c r="C48" s="15" t="inlineStr">
        <is>
          <t>WhatsApp delegation</t>
        </is>
      </c>
      <c r="D48" s="15" t="inlineStr">
        <is>
          <t>Story</t>
        </is>
      </c>
      <c r="E48" s="15" t="inlineStr">
        <is>
          <t>Como ejecutivo quiero delegar a Capataz desde Mr. Shark.</t>
        </is>
      </c>
      <c r="F48" s="15" t="inlineStr">
        <is>
          <t>Mr. Shark crea tarea o reminder vía intención conversacional.</t>
        </is>
      </c>
      <c r="G48" s="21" t="inlineStr">
        <is>
          <t>Critical</t>
        </is>
      </c>
      <c r="H48" s="14" t="n">
        <v>5</v>
      </c>
      <c r="I48" s="15" t="inlineStr">
        <is>
          <t>TPC-023,TPC-043</t>
        </is>
      </c>
      <c r="J48" s="15" t="inlineStr">
        <is>
          <t>Sprint 1</t>
        </is>
      </c>
      <c r="K48" s="15" t="inlineStr">
        <is>
          <t>Backend</t>
        </is>
      </c>
      <c r="L48" s="22" t="inlineStr">
        <is>
          <t>To Do</t>
        </is>
      </c>
      <c r="M48" s="15" t="inlineStr">
        <is>
          <t>Med</t>
        </is>
      </c>
      <c r="N48" s="15" t="inlineStr">
        <is>
          <t>Mensaje estrella del pitch.</t>
        </is>
      </c>
    </row>
    <row r="49" ht="24" customHeight="1">
      <c r="A49" s="15" t="inlineStr">
        <is>
          <t>TPC-048</t>
        </is>
      </c>
      <c r="B49" s="15" t="inlineStr">
        <is>
          <t>Capataz AI</t>
        </is>
      </c>
      <c r="C49" s="15" t="inlineStr">
        <is>
          <t>Reporting</t>
        </is>
      </c>
      <c r="D49" s="15" t="inlineStr">
        <is>
          <t>Story</t>
        </is>
      </c>
      <c r="E49" s="15" t="inlineStr">
        <is>
          <t>Como owner quiero un reporte simple de ejecución operativa.</t>
        </is>
      </c>
      <c r="F49" s="15" t="inlineStr">
        <is>
          <t>Reporte de abiertas, vencidas y terminadas.</t>
        </is>
      </c>
      <c r="G49" s="24" t="inlineStr">
        <is>
          <t>Medium</t>
        </is>
      </c>
      <c r="H49" s="14" t="n">
        <v>3</v>
      </c>
      <c r="I49" s="15" t="inlineStr">
        <is>
          <t>TPC-046</t>
        </is>
      </c>
      <c r="J49" s="15" t="inlineStr">
        <is>
          <t>Sprint 2</t>
        </is>
      </c>
      <c r="K49" s="15" t="inlineStr">
        <is>
          <t>Backend</t>
        </is>
      </c>
      <c r="L49" s="22" t="inlineStr">
        <is>
          <t>To Do</t>
        </is>
      </c>
      <c r="M49" s="15" t="inlineStr">
        <is>
          <t>Low</t>
        </is>
      </c>
      <c r="N49" s="15" t="inlineStr">
        <is>
          <t>Madura el módulo.</t>
        </is>
      </c>
    </row>
    <row r="50" ht="24" customHeight="1">
      <c r="A50" s="15" t="inlineStr">
        <is>
          <t>TPC-049</t>
        </is>
      </c>
      <c r="B50" s="15" t="inlineStr">
        <is>
          <t>Dashboard</t>
        </is>
      </c>
      <c r="C50" s="15" t="inlineStr">
        <is>
          <t>Executive dashboard</t>
        </is>
      </c>
      <c r="D50" s="15" t="inlineStr">
        <is>
          <t>Story</t>
        </is>
      </c>
      <c r="E50" s="15" t="inlineStr">
        <is>
          <t>Como dueño quiero ver cash, portafolio, approvals y tareas en una sola vista.</t>
        </is>
      </c>
      <c r="F50" s="15" t="inlineStr">
        <is>
          <t>Vista consolidada con KPIs, pendientes y actividad.</t>
        </is>
      </c>
      <c r="G50" s="21" t="inlineStr">
        <is>
          <t>Critical</t>
        </is>
      </c>
      <c r="H50" s="14" t="n">
        <v>8</v>
      </c>
      <c r="I50" s="15" t="inlineStr">
        <is>
          <t>TPC-017,TPC-030,TPC-039,TPC-046,TPC-042</t>
        </is>
      </c>
      <c r="J50" s="15" t="inlineStr">
        <is>
          <t>Sprint 1</t>
        </is>
      </c>
      <c r="K50" s="15" t="inlineStr">
        <is>
          <t>Frontend</t>
        </is>
      </c>
      <c r="L50" s="22" t="inlineStr">
        <is>
          <t>To Do</t>
        </is>
      </c>
      <c r="M50" s="15" t="inlineStr">
        <is>
          <t>Med</t>
        </is>
      </c>
      <c r="N50" s="15" t="inlineStr">
        <is>
          <t>Flujo 6.</t>
        </is>
      </c>
    </row>
    <row r="51" ht="24" customHeight="1">
      <c r="A51" s="15" t="inlineStr">
        <is>
          <t>TPC-050</t>
        </is>
      </c>
      <c r="B51" s="15" t="inlineStr">
        <is>
          <t>Dashboard</t>
        </is>
      </c>
      <c r="C51" s="15" t="inlineStr">
        <is>
          <t>Risk alerts</t>
        </is>
      </c>
      <c r="D51" s="15" t="inlineStr">
        <is>
          <t>Story</t>
        </is>
      </c>
      <c r="E51" s="15" t="inlineStr">
        <is>
          <t>Como dueño quiero alertas claras cuando algo se sale del carril.</t>
        </is>
      </c>
      <c r="F51" s="15" t="inlineStr">
        <is>
          <t>Alertas por umbral, falla de integración, approval pendiente y datos faltantes.</t>
        </is>
      </c>
      <c r="G51" s="23" t="inlineStr">
        <is>
          <t>High</t>
        </is>
      </c>
      <c r="H51" s="14" t="n">
        <v>5</v>
      </c>
      <c r="I51" s="15" t="inlineStr">
        <is>
          <t>TPC-022,TPC-041</t>
        </is>
      </c>
      <c r="J51" s="15" t="inlineStr">
        <is>
          <t>Sprint 1</t>
        </is>
      </c>
      <c r="K51" s="15" t="inlineStr">
        <is>
          <t>Frontend</t>
        </is>
      </c>
      <c r="L51" s="22" t="inlineStr">
        <is>
          <t>To Do</t>
        </is>
      </c>
      <c r="M51" s="15" t="inlineStr">
        <is>
          <t>Med</t>
        </is>
      </c>
      <c r="N51" s="15" t="inlineStr">
        <is>
          <t>Flujo 6.</t>
        </is>
      </c>
    </row>
    <row r="52" ht="24" customHeight="1">
      <c r="A52" s="15" t="inlineStr">
        <is>
          <t>TPC-051</t>
        </is>
      </c>
      <c r="B52" s="15" t="inlineStr">
        <is>
          <t>Dashboard</t>
        </is>
      </c>
      <c r="C52" s="15" t="inlineStr">
        <is>
          <t>Command center widget</t>
        </is>
      </c>
      <c r="D52" s="15" t="inlineStr">
        <is>
          <t>Story</t>
        </is>
      </c>
      <c r="E52" s="15" t="inlineStr">
        <is>
          <t>Como dueño quiero tener un acceso visual al chat de Mr. Shark.</t>
        </is>
      </c>
      <c r="F52" s="15" t="inlineStr">
        <is>
          <t>Widget o panel de interacciones recientes y CTA conversacional.</t>
        </is>
      </c>
      <c r="G52" s="23" t="inlineStr">
        <is>
          <t>High</t>
        </is>
      </c>
      <c r="H52" s="14" t="n">
        <v>3</v>
      </c>
      <c r="I52" s="15" t="inlineStr">
        <is>
          <t>TPC-023</t>
        </is>
      </c>
      <c r="J52" s="15" t="inlineStr">
        <is>
          <t>Sprint 1</t>
        </is>
      </c>
      <c r="K52" s="15" t="inlineStr">
        <is>
          <t>Frontend</t>
        </is>
      </c>
      <c r="L52" s="22" t="inlineStr">
        <is>
          <t>To Do</t>
        </is>
      </c>
      <c r="M52" s="15" t="inlineStr">
        <is>
          <t>Low</t>
        </is>
      </c>
      <c r="N52" s="15" t="inlineStr">
        <is>
          <t>Refuerza narrativa.</t>
        </is>
      </c>
    </row>
    <row r="53" ht="24" customHeight="1">
      <c r="A53" s="15" t="inlineStr">
        <is>
          <t>TPC-052</t>
        </is>
      </c>
      <c r="B53" s="15" t="inlineStr">
        <is>
          <t>Dashboard</t>
        </is>
      </c>
      <c r="C53" s="15" t="inlineStr">
        <is>
          <t>Responsive mobile view</t>
        </is>
      </c>
      <c r="D53" s="15" t="inlineStr">
        <is>
          <t>Story</t>
        </is>
      </c>
      <c r="E53" s="15" t="inlineStr">
        <is>
          <t>Como ejecutivo quiero que la experiencia móvil no se rompa.</t>
        </is>
      </c>
      <c r="F53" s="15" t="inlineStr">
        <is>
          <t>Dashboard y approvals útiles en móvil.</t>
        </is>
      </c>
      <c r="G53" s="23" t="inlineStr">
        <is>
          <t>High</t>
        </is>
      </c>
      <c r="H53" s="14" t="n">
        <v>5</v>
      </c>
      <c r="I53" s="15" t="inlineStr">
        <is>
          <t>TPC-049</t>
        </is>
      </c>
      <c r="J53" s="15" t="inlineStr">
        <is>
          <t>Sprint 2</t>
        </is>
      </c>
      <c r="K53" s="15" t="inlineStr">
        <is>
          <t>Frontend</t>
        </is>
      </c>
      <c r="L53" s="22" t="inlineStr">
        <is>
          <t>To Do</t>
        </is>
      </c>
      <c r="M53" s="15" t="inlineStr">
        <is>
          <t>Low</t>
        </is>
      </c>
      <c r="N53" s="15" t="inlineStr">
        <is>
          <t>Aunque WhatsApp sea canal primario.</t>
        </is>
      </c>
    </row>
    <row r="54" ht="24" customHeight="1">
      <c r="A54" s="15" t="inlineStr">
        <is>
          <t>TPC-053</t>
        </is>
      </c>
      <c r="B54" s="15" t="inlineStr">
        <is>
          <t>Security</t>
        </is>
      </c>
      <c r="C54" s="15" t="inlineStr">
        <is>
          <t>Secrets &amp; env governance</t>
        </is>
      </c>
      <c r="D54" s="15" t="inlineStr">
        <is>
          <t>Story</t>
        </is>
      </c>
      <c r="E54" s="15" t="inlineStr">
        <is>
          <t>Como equipo quiero secretos ordenados para no provocar incendios.</t>
        </is>
      </c>
      <c r="F54" s="15" t="inlineStr">
        <is>
          <t>Vault o convención segura, rotación y plantillas .env.</t>
        </is>
      </c>
      <c r="G54" s="23" t="inlineStr">
        <is>
          <t>High</t>
        </is>
      </c>
      <c r="H54" s="14" t="n">
        <v>3</v>
      </c>
      <c r="I54" s="15" t="inlineStr">
        <is>
          <t>TPC-003</t>
        </is>
      </c>
      <c r="J54" s="15" t="inlineStr">
        <is>
          <t>Sprint 0</t>
        </is>
      </c>
      <c r="K54" s="15" t="inlineStr">
        <is>
          <t>DevOps</t>
        </is>
      </c>
      <c r="L54" s="22" t="inlineStr">
        <is>
          <t>To Do</t>
        </is>
      </c>
      <c r="M54" s="15" t="inlineStr">
        <is>
          <t>Med</t>
        </is>
      </c>
      <c r="N54" s="15" t="inlineStr">
        <is>
          <t>Operación seria.</t>
        </is>
      </c>
    </row>
    <row r="55" ht="24" customHeight="1">
      <c r="A55" s="15" t="inlineStr">
        <is>
          <t>TPC-054</t>
        </is>
      </c>
      <c r="B55" s="15" t="inlineStr">
        <is>
          <t>Security</t>
        </is>
      </c>
      <c r="C55" s="15" t="inlineStr">
        <is>
          <t>RBAC enforcement tests</t>
        </is>
      </c>
      <c r="D55" s="15" t="inlineStr">
        <is>
          <t>Story</t>
        </is>
      </c>
      <c r="E55" s="15" t="inlineStr">
        <is>
          <t>Como equipo quiero pruebas de permisos para evitar filtraciones.</t>
        </is>
      </c>
      <c r="F55" s="15" t="inlineStr">
        <is>
          <t>Casos automatizados para acciones críticas.</t>
        </is>
      </c>
      <c r="G55" s="23" t="inlineStr">
        <is>
          <t>High</t>
        </is>
      </c>
      <c r="H55" s="14" t="n">
        <v>5</v>
      </c>
      <c r="I55" s="15" t="inlineStr">
        <is>
          <t>TPC-013</t>
        </is>
      </c>
      <c r="J55" s="15" t="inlineStr">
        <is>
          <t>Sprint 2</t>
        </is>
      </c>
      <c r="K55" s="15" t="inlineStr">
        <is>
          <t>QA</t>
        </is>
      </c>
      <c r="L55" s="22" t="inlineStr">
        <is>
          <t>To Do</t>
        </is>
      </c>
      <c r="M55" s="15" t="inlineStr">
        <is>
          <t>Med</t>
        </is>
      </c>
      <c r="N55" s="15" t="inlineStr">
        <is>
          <t>Debe cubrir approvals.</t>
        </is>
      </c>
    </row>
    <row r="56" ht="24" customHeight="1">
      <c r="A56" s="15" t="inlineStr">
        <is>
          <t>TPC-055</t>
        </is>
      </c>
      <c r="B56" s="15" t="inlineStr">
        <is>
          <t>QA/Demo</t>
        </is>
      </c>
      <c r="C56" s="15" t="inlineStr">
        <is>
          <t>QA smoke suite</t>
        </is>
      </c>
      <c r="D56" s="15" t="inlineStr">
        <is>
          <t>Story</t>
        </is>
      </c>
      <c r="E56" s="15" t="inlineStr">
        <is>
          <t>Como equipo quiero smoke tests de los 6 flujos MVP.</t>
        </is>
      </c>
      <c r="F56" s="15" t="inlineStr">
        <is>
          <t>Suite mínima que valide recorrido feliz.</t>
        </is>
      </c>
      <c r="G56" s="21" t="inlineStr">
        <is>
          <t>Critical</t>
        </is>
      </c>
      <c r="H56" s="14" t="n">
        <v>5</v>
      </c>
      <c r="I56" s="15" t="inlineStr">
        <is>
          <t>TPC-049,TPC-047,TPC-027,TPC-039</t>
        </is>
      </c>
      <c r="J56" s="15" t="inlineStr">
        <is>
          <t>Sprint 2</t>
        </is>
      </c>
      <c r="K56" s="15" t="inlineStr">
        <is>
          <t>QA</t>
        </is>
      </c>
      <c r="L56" s="22" t="inlineStr">
        <is>
          <t>To Do</t>
        </is>
      </c>
      <c r="M56" s="15" t="inlineStr">
        <is>
          <t>Low</t>
        </is>
      </c>
      <c r="N56" s="15" t="inlineStr">
        <is>
          <t>Antes del piloto.</t>
        </is>
      </c>
    </row>
    <row r="57" ht="24" customHeight="1">
      <c r="A57" s="15" t="inlineStr">
        <is>
          <t>TPC-056</t>
        </is>
      </c>
      <c r="B57" s="15" t="inlineStr">
        <is>
          <t>QA/Demo</t>
        </is>
      </c>
      <c r="C57" s="15" t="inlineStr">
        <is>
          <t>Demo data package</t>
        </is>
      </c>
      <c r="D57" s="15" t="inlineStr">
        <is>
          <t>Story</t>
        </is>
      </c>
      <c r="E57" s="15" t="inlineStr">
        <is>
          <t>Como equipo comercial quiero datos de demo creíbles y premium.</t>
        </is>
      </c>
      <c r="F57" s="15" t="inlineStr">
        <is>
          <t>Organización demo, cuentas, portafolio, tareas, aprobaciones y mensajes.</t>
        </is>
      </c>
      <c r="G57" s="21" t="inlineStr">
        <is>
          <t>Critical</t>
        </is>
      </c>
      <c r="H57" s="14" t="n">
        <v>3</v>
      </c>
      <c r="I57" s="15" t="inlineStr">
        <is>
          <t>TPC-049</t>
        </is>
      </c>
      <c r="J57" s="15" t="inlineStr">
        <is>
          <t>Sprint 1</t>
        </is>
      </c>
      <c r="K57" s="15" t="inlineStr">
        <is>
          <t>PO</t>
        </is>
      </c>
      <c r="L57" s="22" t="inlineStr">
        <is>
          <t>To Do</t>
        </is>
      </c>
      <c r="M57" s="15" t="inlineStr">
        <is>
          <t>Low</t>
        </is>
      </c>
      <c r="N57" s="15" t="inlineStr">
        <is>
          <t>Evitar pantallas vacías.</t>
        </is>
      </c>
    </row>
    <row r="58" ht="24" customHeight="1">
      <c r="A58" s="15" t="inlineStr">
        <is>
          <t>TPC-057</t>
        </is>
      </c>
      <c r="B58" s="15" t="inlineStr">
        <is>
          <t>DevOps</t>
        </is>
      </c>
      <c r="C58" s="15" t="inlineStr">
        <is>
          <t>Observability base</t>
        </is>
      </c>
      <c r="D58" s="15" t="inlineStr">
        <is>
          <t>Story</t>
        </is>
      </c>
      <c r="E58" s="15" t="inlineStr">
        <is>
          <t>Como equipo quiero logs y métricas mínimas para detectar fallas.</t>
        </is>
      </c>
      <c r="F58" s="15" t="inlineStr">
        <is>
          <t>Correlación de requests, logs estructurados y alertas básicas.</t>
        </is>
      </c>
      <c r="G58" s="24" t="inlineStr">
        <is>
          <t>Medium</t>
        </is>
      </c>
      <c r="H58" s="14" t="n">
        <v>3</v>
      </c>
      <c r="I58" s="15" t="inlineStr">
        <is>
          <t>TPC-003,TPC-010</t>
        </is>
      </c>
      <c r="J58" s="15" t="inlineStr">
        <is>
          <t>Sprint 2</t>
        </is>
      </c>
      <c r="K58" s="15" t="inlineStr">
        <is>
          <t>DevOps</t>
        </is>
      </c>
      <c r="L58" s="22" t="inlineStr">
        <is>
          <t>To Do</t>
        </is>
      </c>
      <c r="M58" s="15" t="inlineStr">
        <is>
          <t>Med</t>
        </is>
      </c>
      <c r="N58" s="15" t="inlineStr">
        <is>
          <t>Piloto controlado.</t>
        </is>
      </c>
    </row>
    <row r="59" ht="24" customHeight="1">
      <c r="A59" s="15" t="inlineStr">
        <is>
          <t>TPC-058</t>
        </is>
      </c>
      <c r="B59" s="15" t="inlineStr">
        <is>
          <t>Integrations</t>
        </is>
      </c>
      <c r="C59" s="15" t="inlineStr">
        <is>
          <t>WhatsApp provider setup</t>
        </is>
      </c>
      <c r="D59" s="15" t="inlineStr">
        <is>
          <t>Story</t>
        </is>
      </c>
      <c r="E59" s="15" t="inlineStr">
        <is>
          <t>Como equipo quiero escoger y configurar proveedor de WhatsApp Business.</t>
        </is>
      </c>
      <c r="F59" s="15" t="inlineStr">
        <is>
          <t>Cuenta, webhook, templates y números listos.</t>
        </is>
      </c>
      <c r="G59" s="21" t="inlineStr">
        <is>
          <t>Critical</t>
        </is>
      </c>
      <c r="H59" s="14" t="n">
        <v>5</v>
      </c>
      <c r="I59" s="15" t="inlineStr">
        <is>
          <t>TPC-001</t>
        </is>
      </c>
      <c r="J59" s="15" t="inlineStr">
        <is>
          <t>Sprint 1</t>
        </is>
      </c>
      <c r="K59" s="15" t="inlineStr">
        <is>
          <t>Backend</t>
        </is>
      </c>
      <c r="L59" s="22" t="inlineStr">
        <is>
          <t>To Do</t>
        </is>
      </c>
      <c r="M59" s="15" t="inlineStr">
        <is>
          <t>High</t>
        </is>
      </c>
      <c r="N59" s="15" t="inlineStr">
        <is>
          <t>Dependencia externa.</t>
        </is>
      </c>
    </row>
    <row r="60" ht="24" customHeight="1">
      <c r="A60" s="15" t="inlineStr">
        <is>
          <t>TPC-059</t>
        </is>
      </c>
      <c r="B60" s="15" t="inlineStr">
        <is>
          <t>Integrations</t>
        </is>
      </c>
      <c r="C60" s="15" t="inlineStr">
        <is>
          <t>STP/IFPE discovery</t>
        </is>
      </c>
      <c r="D60" s="15" t="inlineStr">
        <is>
          <t>Story</t>
        </is>
      </c>
      <c r="E60" s="15" t="inlineStr">
        <is>
          <t>Como sponsor quiero claridad del carril wallet México.</t>
        </is>
      </c>
      <c r="F60" s="15" t="inlineStr">
        <is>
          <t>Lista de sponsor/aliado, tiempos, costos y restricciones.</t>
        </is>
      </c>
      <c r="G60" s="21" t="inlineStr">
        <is>
          <t>Critical</t>
        </is>
      </c>
      <c r="H60" s="14" t="n">
        <v>5</v>
      </c>
      <c r="I60" s="15" t="inlineStr">
        <is>
          <t>TPC-006</t>
        </is>
      </c>
      <c r="J60" s="15" t="inlineStr">
        <is>
          <t>Sprint 1</t>
        </is>
      </c>
      <c r="K60" s="15" t="inlineStr">
        <is>
          <t>PO/Legal</t>
        </is>
      </c>
      <c r="L60" s="22" t="inlineStr">
        <is>
          <t>To Do</t>
        </is>
      </c>
      <c r="M60" s="15" t="inlineStr">
        <is>
          <t>High</t>
        </is>
      </c>
      <c r="N60" s="15" t="inlineStr">
        <is>
          <t>Riesgo de producto.</t>
        </is>
      </c>
    </row>
    <row r="61" ht="24" customHeight="1">
      <c r="A61" s="15" t="inlineStr">
        <is>
          <t>TPC-060</t>
        </is>
      </c>
      <c r="B61" s="15" t="inlineStr">
        <is>
          <t>Integrations</t>
        </is>
      </c>
      <c r="C61" s="15" t="inlineStr">
        <is>
          <t>Payment rails abstraction</t>
        </is>
      </c>
      <c r="D61" s="15" t="inlineStr">
        <is>
          <t>Story</t>
        </is>
      </c>
      <c r="E61" s="15" t="inlineStr">
        <is>
          <t>Como arquitectura quiero una capa abstracta de money rails.</t>
        </is>
      </c>
      <c r="F61" s="15" t="inlineStr">
        <is>
          <t>Interfaces limpias y adapters por proveedor.</t>
        </is>
      </c>
      <c r="G61" s="23" t="inlineStr">
        <is>
          <t>High</t>
        </is>
      </c>
      <c r="H61" s="14" t="n">
        <v>5</v>
      </c>
      <c r="I61" s="15" t="inlineStr">
        <is>
          <t>TPC-004,TPC-059</t>
        </is>
      </c>
      <c r="J61" s="15" t="inlineStr">
        <is>
          <t>Sprint 2</t>
        </is>
      </c>
      <c r="K61" s="15" t="inlineStr">
        <is>
          <t>Backend</t>
        </is>
      </c>
      <c r="L61" s="22" t="inlineStr">
        <is>
          <t>To Do</t>
        </is>
      </c>
      <c r="M61" s="15" t="inlineStr">
        <is>
          <t>Med</t>
        </is>
      </c>
      <c r="N61" s="15" t="inlineStr">
        <is>
          <t>Provider-agnostic real.</t>
        </is>
      </c>
    </row>
    <row r="62" ht="24" customHeight="1">
      <c r="A62" s="15" t="inlineStr">
        <is>
          <t>TPC-061</t>
        </is>
      </c>
      <c r="B62" s="15" t="inlineStr">
        <is>
          <t>Compliance</t>
        </is>
      </c>
      <c r="C62" s="15" t="inlineStr">
        <is>
          <t>Claims review gate</t>
        </is>
      </c>
      <c r="D62" s="15" t="inlineStr">
        <is>
          <t>Story</t>
        </is>
      </c>
      <c r="E62" s="15" t="inlineStr">
        <is>
          <t>Como comercial quiero una compuerta para no decir barbaridades en pitch y sitio.</t>
        </is>
      </c>
      <c r="F62" s="15" t="inlineStr">
        <is>
          <t>Checklist de claims permitidos en deck, demo y ventas.</t>
        </is>
      </c>
      <c r="G62" s="21" t="inlineStr">
        <is>
          <t>Critical</t>
        </is>
      </c>
      <c r="H62" s="14" t="n">
        <v>3</v>
      </c>
      <c r="I62" s="15" t="inlineStr">
        <is>
          <t>TPC-006</t>
        </is>
      </c>
      <c r="J62" s="15" t="inlineStr">
        <is>
          <t>Sprint 0</t>
        </is>
      </c>
      <c r="K62" s="15" t="inlineStr">
        <is>
          <t>Legal/PO</t>
        </is>
      </c>
      <c r="L62" s="22" t="inlineStr">
        <is>
          <t>To Do</t>
        </is>
      </c>
      <c r="M62" s="15" t="inlineStr">
        <is>
          <t>High</t>
        </is>
      </c>
      <c r="N62" s="15" t="inlineStr">
        <is>
          <t>No decir: banco, rendimiento sobre saldo, etc.</t>
        </is>
      </c>
    </row>
    <row r="63" ht="24" customHeight="1">
      <c r="A63" s="15" t="inlineStr">
        <is>
          <t>TPC-062</t>
        </is>
      </c>
      <c r="B63" s="15" t="inlineStr">
        <is>
          <t>Compliance</t>
        </is>
      </c>
      <c r="C63" s="15" t="inlineStr">
        <is>
          <t>Terms &amp; disclaimers</t>
        </is>
      </c>
      <c r="D63" s="15" t="inlineStr">
        <is>
          <t>Story</t>
        </is>
      </c>
      <c r="E63" s="15" t="inlineStr">
        <is>
          <t>Como producto quiero disclaimers visibles en inversiones y simulaciones.</t>
        </is>
      </c>
      <c r="F63" s="15" t="inlineStr">
        <is>
          <t>Mensajes legales visibles en módulos sensibles.</t>
        </is>
      </c>
      <c r="G63" s="23" t="inlineStr">
        <is>
          <t>High</t>
        </is>
      </c>
      <c r="H63" s="14" t="n">
        <v>3</v>
      </c>
      <c r="I63" s="15" t="inlineStr">
        <is>
          <t>TPC-032,TPC-033</t>
        </is>
      </c>
      <c r="J63" s="15" t="inlineStr">
        <is>
          <t>Sprint 1</t>
        </is>
      </c>
      <c r="K63" s="15" t="inlineStr">
        <is>
          <t>Frontend</t>
        </is>
      </c>
      <c r="L63" s="22" t="inlineStr">
        <is>
          <t>To Do</t>
        </is>
      </c>
      <c r="M63" s="15" t="inlineStr">
        <is>
          <t>Med</t>
        </is>
      </c>
      <c r="N63" s="15" t="inlineStr">
        <is>
          <t>Protección básica.</t>
        </is>
      </c>
    </row>
    <row r="64" ht="24" customHeight="1">
      <c r="A64" s="15" t="inlineStr">
        <is>
          <t>TPC-063</t>
        </is>
      </c>
      <c r="B64" s="15" t="inlineStr">
        <is>
          <t>Foundation</t>
        </is>
      </c>
      <c r="C64" s="15" t="inlineStr">
        <is>
          <t>Artifact pack roadmap</t>
        </is>
      </c>
      <c r="D64" s="15" t="inlineStr">
        <is>
          <t>Story</t>
        </is>
      </c>
      <c r="E64" s="15" t="inlineStr">
        <is>
          <t>Como sponsor quiero ver qué PDFs siguen después del Excel.</t>
        </is>
      </c>
      <c r="F64" s="15" t="inlineStr">
        <is>
          <t>Listado priorizado de artefactos con objetivo, dueño y fecha.</t>
        </is>
      </c>
      <c r="G64" s="24" t="inlineStr">
        <is>
          <t>Medium</t>
        </is>
      </c>
      <c r="H64" s="14" t="n">
        <v>2</v>
      </c>
      <c r="I64" s="15" t="inlineStr">
        <is>
          <t>TPC-001</t>
        </is>
      </c>
      <c r="J64" s="15" t="inlineStr">
        <is>
          <t>Sprint 0</t>
        </is>
      </c>
      <c r="K64" s="15" t="inlineStr">
        <is>
          <t>PO</t>
        </is>
      </c>
      <c r="L64" s="22" t="inlineStr">
        <is>
          <t>To Do</t>
        </is>
      </c>
      <c r="M64" s="15" t="inlineStr">
        <is>
          <t>Low</t>
        </is>
      </c>
      <c r="N64" s="15" t="inlineStr">
        <is>
          <t>Para continuidad documental.</t>
        </is>
      </c>
    </row>
    <row r="65" ht="24" customHeight="1">
      <c r="A65" s="15" t="inlineStr">
        <is>
          <t>TPC-064</t>
        </is>
      </c>
      <c r="B65" s="15" t="inlineStr">
        <is>
          <t>Pilot</t>
        </is>
      </c>
      <c r="C65" s="15" t="inlineStr">
        <is>
          <t>Pilot readiness checklist</t>
        </is>
      </c>
      <c r="D65" s="15" t="inlineStr">
        <is>
          <t>Story</t>
        </is>
      </c>
      <c r="E65" s="15" t="inlineStr">
        <is>
          <t>Como equipo quiero una lista brutalmente clara para saber si el piloto vive o muere.</t>
        </is>
      </c>
      <c r="F65" s="15" t="inlineStr">
        <is>
          <t>Checklist con técnica, legal, demo, soporte y datos.</t>
        </is>
      </c>
      <c r="G65" s="23" t="inlineStr">
        <is>
          <t>High</t>
        </is>
      </c>
      <c r="H65" s="14" t="n">
        <v>3</v>
      </c>
      <c r="I65" s="15" t="inlineStr">
        <is>
          <t>TPC-055,TPC-057,TPC-035</t>
        </is>
      </c>
      <c r="J65" s="15" t="inlineStr">
        <is>
          <t>Sprint 2</t>
        </is>
      </c>
      <c r="K65" s="15" t="inlineStr">
        <is>
          <t>SM</t>
        </is>
      </c>
      <c r="L65" s="22" t="inlineStr">
        <is>
          <t>To Do</t>
        </is>
      </c>
      <c r="M65" s="15" t="inlineStr">
        <is>
          <t>Med</t>
        </is>
      </c>
      <c r="N65" s="15" t="inlineStr">
        <is>
          <t>Go / no-go.</t>
        </is>
      </c>
    </row>
    <row r="66" ht="24" customHeight="1">
      <c r="A66" s="15" t="inlineStr">
        <is>
          <t>TPC-065</t>
        </is>
      </c>
      <c r="B66" s="15" t="inlineStr">
        <is>
          <t>Pilot</t>
        </is>
      </c>
      <c r="C66" s="15" t="inlineStr">
        <is>
          <t>Vertical selection</t>
        </is>
      </c>
      <c r="D66" s="15" t="inlineStr">
        <is>
          <t>Story</t>
        </is>
      </c>
      <c r="E66" s="15" t="inlineStr">
        <is>
          <t>Como sponsor quiero decidir el primer vertical del despliegue.</t>
        </is>
      </c>
      <c r="F66" s="15" t="inlineStr">
        <is>
          <t>Criterio y decisión entre hospital, agencia y family office.</t>
        </is>
      </c>
      <c r="G66" s="24" t="inlineStr">
        <is>
          <t>Medium</t>
        </is>
      </c>
      <c r="H66" s="14" t="n">
        <v>2</v>
      </c>
      <c r="I66" s="15" t="inlineStr">
        <is>
          <t>TPC-001</t>
        </is>
      </c>
      <c r="J66" s="15" t="inlineStr">
        <is>
          <t>Sprint 1</t>
        </is>
      </c>
      <c r="K66" s="15" t="inlineStr">
        <is>
          <t>PO</t>
        </is>
      </c>
      <c r="L66" s="22" t="inlineStr">
        <is>
          <t>To Do</t>
        </is>
      </c>
      <c r="M66" s="15" t="inlineStr">
        <is>
          <t>Med</t>
        </is>
      </c>
      <c r="N66" s="15" t="inlineStr">
        <is>
          <t>Sale del documento.</t>
        </is>
      </c>
    </row>
    <row r="67" ht="24" customHeight="1">
      <c r="A67" s="15" t="inlineStr">
        <is>
          <t>TPC-066</t>
        </is>
      </c>
      <c r="B67" s="15" t="inlineStr">
        <is>
          <t>Analytics</t>
        </is>
      </c>
      <c r="C67" s="15" t="inlineStr">
        <is>
          <t>KPI baseline</t>
        </is>
      </c>
      <c r="D67" s="15" t="inlineStr">
        <is>
          <t>Story</t>
        </is>
      </c>
      <c r="E67" s="15" t="inlineStr">
        <is>
          <t>Como equipo quiero medir adopción del MVP desde día 1.</t>
        </is>
      </c>
      <c r="F67" s="15" t="inlineStr">
        <is>
          <t>KPIs: comandos, approvals, transfers, tareas, tiempo de resolución.</t>
        </is>
      </c>
      <c r="G67" s="24" t="inlineStr">
        <is>
          <t>Medium</t>
        </is>
      </c>
      <c r="H67" s="14" t="n">
        <v>3</v>
      </c>
      <c r="I67" s="15" t="inlineStr">
        <is>
          <t>TPC-041,TPC-046</t>
        </is>
      </c>
      <c r="J67" s="15" t="inlineStr">
        <is>
          <t>Sprint 2</t>
        </is>
      </c>
      <c r="K67" s="15" t="inlineStr">
        <is>
          <t>Backend</t>
        </is>
      </c>
      <c r="L67" s="22" t="inlineStr">
        <is>
          <t>To Do</t>
        </is>
      </c>
      <c r="M67" s="15" t="inlineStr">
        <is>
          <t>Low</t>
        </is>
      </c>
      <c r="N67" s="15" t="inlineStr">
        <is>
          <t>Para ventas y producto.</t>
        </is>
      </c>
    </row>
    <row r="68" ht="24" customHeight="1">
      <c r="A68" s="15" t="inlineStr">
        <is>
          <t>TPC-067</t>
        </is>
      </c>
      <c r="B68" s="15" t="inlineStr">
        <is>
          <t>Health Phase 3</t>
        </is>
      </c>
      <c r="C68" s="15" t="inlineStr">
        <is>
          <t>Health deferred guardrail</t>
        </is>
      </c>
      <c r="D68" s="15" t="inlineStr">
        <is>
          <t>Story</t>
        </is>
      </c>
      <c r="E68" s="15" t="inlineStr">
        <is>
          <t>Como sponsor quiero asegurar que health no contamine Fase 1.</t>
        </is>
      </c>
      <c r="F68" s="15" t="inlineStr">
        <is>
          <t>Backlog separado, dependencias y mensaje comercial claro.</t>
        </is>
      </c>
      <c r="G68" s="24" t="inlineStr">
        <is>
          <t>Medium</t>
        </is>
      </c>
      <c r="H68" s="14" t="n">
        <v>2</v>
      </c>
      <c r="I68" s="15" t="inlineStr">
        <is>
          <t>TPC-001</t>
        </is>
      </c>
      <c r="J68" s="15" t="inlineStr">
        <is>
          <t>Sprint 0</t>
        </is>
      </c>
      <c r="K68" s="15" t="inlineStr">
        <is>
          <t>PO</t>
        </is>
      </c>
      <c r="L68" s="22" t="inlineStr">
        <is>
          <t>To Do</t>
        </is>
      </c>
      <c r="M68" s="15" t="inlineStr">
        <is>
          <t>Low</t>
        </is>
      </c>
      <c r="N68" s="15" t="inlineStr">
        <is>
          <t>Diferido a Fase 3.</t>
        </is>
      </c>
    </row>
    <row r="69" ht="24" customHeight="1">
      <c r="A69" s="15" t="inlineStr">
        <is>
          <t>TPC-068</t>
        </is>
      </c>
      <c r="B69" s="15" t="inlineStr">
        <is>
          <t>Architecture</t>
        </is>
      </c>
      <c r="C69" s="15" t="inlineStr">
        <is>
          <t>Provider adapter pattern</t>
        </is>
      </c>
      <c r="D69" s="15" t="inlineStr">
        <is>
          <t>Story</t>
        </is>
      </c>
      <c r="E69" s="15" t="inlineStr">
        <is>
          <t>Como backend quiero patrón reusable para nuevos conectores.</t>
        </is>
      </c>
      <c r="F69" s="15" t="inlineStr">
        <is>
          <t>Contrato base + implementación mock de broker y WhatsApp.</t>
        </is>
      </c>
      <c r="G69" s="23" t="inlineStr">
        <is>
          <t>High</t>
        </is>
      </c>
      <c r="H69" s="14" t="n">
        <v>5</v>
      </c>
      <c r="I69" s="15" t="inlineStr">
        <is>
          <t>TPC-034,TPC-058</t>
        </is>
      </c>
      <c r="J69" s="15" t="inlineStr">
        <is>
          <t>Sprint 2</t>
        </is>
      </c>
      <c r="K69" s="15" t="inlineStr">
        <is>
          <t>Backend</t>
        </is>
      </c>
      <c r="L69" s="22" t="inlineStr">
        <is>
          <t>To Do</t>
        </is>
      </c>
      <c r="M69" s="15" t="inlineStr">
        <is>
          <t>Low</t>
        </is>
      </c>
      <c r="N69" s="15" t="inlineStr">
        <is>
          <t>Escalabilidad.</t>
        </is>
      </c>
    </row>
    <row r="70" ht="24" customHeight="1">
      <c r="A70" s="15" t="inlineStr">
        <is>
          <t>TPC-069</t>
        </is>
      </c>
      <c r="B70" s="15" t="inlineStr">
        <is>
          <t>Documentation</t>
        </is>
      </c>
      <c r="C70" s="15" t="inlineStr">
        <is>
          <t>API reference v1</t>
        </is>
      </c>
      <c r="D70" s="15" t="inlineStr">
        <is>
          <t>Story</t>
        </is>
      </c>
      <c r="E70" s="15" t="inlineStr">
        <is>
          <t>Como equipo quiero documentación viva de endpoints clave.</t>
        </is>
      </c>
      <c r="F70" s="15" t="inlineStr">
        <is>
          <t>Colección o spec inicial con ejemplos.</t>
        </is>
      </c>
      <c r="G70" s="23" t="inlineStr">
        <is>
          <t>High</t>
        </is>
      </c>
      <c r="H70" s="14" t="n">
        <v>3</v>
      </c>
      <c r="I70" s="15" t="inlineStr">
        <is>
          <t>TPC-004</t>
        </is>
      </c>
      <c r="J70" s="15" t="inlineStr">
        <is>
          <t>Sprint 1</t>
        </is>
      </c>
      <c r="K70" s="15" t="inlineStr">
        <is>
          <t>Backend</t>
        </is>
      </c>
      <c r="L70" s="22" t="inlineStr">
        <is>
          <t>To Do</t>
        </is>
      </c>
      <c r="M70" s="15" t="inlineStr">
        <is>
          <t>Low</t>
        </is>
      </c>
      <c r="N70" s="15" t="inlineStr">
        <is>
          <t>Acelera front y QA.</t>
        </is>
      </c>
    </row>
    <row r="71" ht="24" customHeight="1">
      <c r="A71" s="15" t="inlineStr">
        <is>
          <t>TPC-070</t>
        </is>
      </c>
      <c r="B71" s="15" t="inlineStr">
        <is>
          <t>Documentation</t>
        </is>
      </c>
      <c r="C71" s="15" t="inlineStr">
        <is>
          <t>Runbook demo/pilot</t>
        </is>
      </c>
      <c r="D71" s="15" t="inlineStr">
        <is>
          <t>Story</t>
        </is>
      </c>
      <c r="E71" s="15" t="inlineStr">
        <is>
          <t>Como equipo quiero saber cómo levantar, resetear y operar la demo.</t>
        </is>
      </c>
      <c r="F71" s="15" t="inlineStr">
        <is>
          <t>Runbook con pasos, datos demo y troubleshooting.</t>
        </is>
      </c>
      <c r="G71" s="23" t="inlineStr">
        <is>
          <t>High</t>
        </is>
      </c>
      <c r="H71" s="14" t="n">
        <v>3</v>
      </c>
      <c r="I71" s="15" t="inlineStr">
        <is>
          <t>TPC-055,TPC-056</t>
        </is>
      </c>
      <c r="J71" s="15" t="inlineStr">
        <is>
          <t>Sprint 2</t>
        </is>
      </c>
      <c r="K71" s="15" t="inlineStr">
        <is>
          <t>SM</t>
        </is>
      </c>
      <c r="L71" s="22" t="inlineStr">
        <is>
          <t>To Do</t>
        </is>
      </c>
      <c r="M71" s="15" t="inlineStr">
        <is>
          <t>Low</t>
        </is>
      </c>
      <c r="N71" s="15" t="inlineStr">
        <is>
          <t>Reducir pánico pre-demo.</t>
        </is>
      </c>
    </row>
  </sheetData>
  <conditionalFormatting sqref="G2:G71">
    <cfRule type="expression" priority="1" dxfId="0">
      <formula>$G2="Critical"</formula>
    </cfRule>
  </conditionalFormatting>
  <conditionalFormatting sqref="M2:M71">
    <cfRule type="expression" priority="2" dxfId="1">
      <formula>$M2="High"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8" customWidth="1" min="3" max="3"/>
    <col width="10" customWidth="1" min="4" max="4"/>
    <col width="10" customWidth="1" min="5" max="5"/>
    <col width="11" customWidth="1" min="6" max="6"/>
    <col width="17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42" customWidth="1" min="13" max="13"/>
  </cols>
  <sheetData>
    <row r="1" ht="24" customHeight="1">
      <c r="A1" s="1" t="inlineStr">
        <is>
          <t>Sprint 0 plan</t>
        </is>
      </c>
    </row>
    <row r="2" ht="24" customHeight="1"/>
    <row r="3" ht="24" customHeight="1">
      <c r="A3" s="18" t="inlineStr">
        <is>
          <t>ID</t>
        </is>
      </c>
      <c r="B3" s="18" t="inlineStr">
        <is>
          <t>Epic</t>
        </is>
      </c>
      <c r="C3" s="18" t="inlineStr">
        <is>
          <t>Feature</t>
        </is>
      </c>
      <c r="D3" s="18" t="inlineStr">
        <is>
          <t>Priority</t>
        </is>
      </c>
      <c r="E3" s="18" t="inlineStr">
        <is>
          <t>SP</t>
        </is>
      </c>
      <c r="F3" s="18" t="inlineStr">
        <is>
          <t>Owner</t>
        </is>
      </c>
      <c r="G3" s="18" t="inlineStr">
        <is>
          <t>Dependencies</t>
        </is>
      </c>
      <c r="H3" s="18" t="inlineStr">
        <is>
          <t>Status</t>
        </is>
      </c>
      <c r="I3" s="18" t="inlineStr">
        <is>
          <t>Goal fit</t>
        </is>
      </c>
      <c r="J3" s="18" t="inlineStr">
        <is>
          <t>Comments</t>
        </is>
      </c>
      <c r="L3" s="11" t="inlineStr">
        <is>
          <t>Meta</t>
        </is>
      </c>
      <c r="M3" s="11" t="inlineStr">
        <is>
          <t>Detalle</t>
        </is>
      </c>
    </row>
    <row r="4" ht="24" customHeight="1">
      <c r="A4" s="15" t="inlineStr">
        <is>
          <t>TPC-001</t>
        </is>
      </c>
      <c r="B4" s="15" t="inlineStr">
        <is>
          <t>Foundation</t>
        </is>
      </c>
      <c r="C4" s="15" t="inlineStr">
        <is>
          <t>Vision &amp; scope</t>
        </is>
      </c>
      <c r="D4" s="15" t="inlineStr">
        <is>
          <t>Critical</t>
        </is>
      </c>
      <c r="E4" s="15" t="n">
        <v>3</v>
      </c>
      <c r="F4" s="15" t="inlineStr">
        <is>
          <t>PO</t>
        </is>
      </c>
      <c r="G4" s="15" t="inlineStr">
        <is>
          <t>-</t>
        </is>
      </c>
      <c r="H4" s="15" t="inlineStr">
        <is>
          <t>To Do</t>
        </is>
      </c>
      <c r="I4" s="15" t="inlineStr">
        <is>
          <t>Sí</t>
        </is>
      </c>
      <c r="J4" s="15" t="inlineStr"/>
      <c r="L4" s="25" t="inlineStr">
        <is>
          <t>Inicio</t>
        </is>
      </c>
      <c r="M4" s="26" t="n">
        <v>46098</v>
      </c>
    </row>
    <row r="5" ht="24" customHeight="1">
      <c r="A5" s="15" t="inlineStr">
        <is>
          <t>TPC-002</t>
        </is>
      </c>
      <c r="B5" s="15" t="inlineStr">
        <is>
          <t>Foundation</t>
        </is>
      </c>
      <c r="C5" s="15" t="inlineStr">
        <is>
          <t>Product architecture</t>
        </is>
      </c>
      <c r="D5" s="15" t="inlineStr">
        <is>
          <t>Critical</t>
        </is>
      </c>
      <c r="E5" s="15" t="n">
        <v>5</v>
      </c>
      <c r="F5" s="15" t="inlineStr">
        <is>
          <t>Tech Lead</t>
        </is>
      </c>
      <c r="G5" s="15" t="inlineStr">
        <is>
          <t>TPC-001</t>
        </is>
      </c>
      <c r="H5" s="15" t="inlineStr">
        <is>
          <t>To Do</t>
        </is>
      </c>
      <c r="I5" s="15" t="inlineStr">
        <is>
          <t>Sí</t>
        </is>
      </c>
      <c r="J5" s="15" t="inlineStr"/>
      <c r="L5" s="25" t="inlineStr">
        <is>
          <t>Fin</t>
        </is>
      </c>
      <c r="M5" s="26" t="n">
        <v>46102</v>
      </c>
    </row>
    <row r="6" ht="24" customHeight="1">
      <c r="A6" s="15" t="inlineStr">
        <is>
          <t>TPC-003</t>
        </is>
      </c>
      <c r="B6" s="15" t="inlineStr">
        <is>
          <t>Foundation</t>
        </is>
      </c>
      <c r="C6" s="15" t="inlineStr">
        <is>
          <t>Repo &amp; environments</t>
        </is>
      </c>
      <c r="D6" s="15" t="inlineStr">
        <is>
          <t>High</t>
        </is>
      </c>
      <c r="E6" s="15" t="n">
        <v>5</v>
      </c>
      <c r="F6" s="15" t="inlineStr">
        <is>
          <t>DevOps</t>
        </is>
      </c>
      <c r="G6" s="15" t="inlineStr">
        <is>
          <t>TPC-002</t>
        </is>
      </c>
      <c r="H6" s="15" t="inlineStr">
        <is>
          <t>To Do</t>
        </is>
      </c>
      <c r="I6" s="15" t="inlineStr">
        <is>
          <t>Sí</t>
        </is>
      </c>
      <c r="J6" s="15" t="inlineStr"/>
      <c r="L6" s="25" t="inlineStr">
        <is>
          <t>Objetivo</t>
        </is>
      </c>
      <c r="M6" s="17" t="inlineStr">
        <is>
          <t>Salir del pantano conceptual: scope, skeleton, compliance, demo y reglas.</t>
        </is>
      </c>
    </row>
    <row r="7" ht="24" customHeight="1">
      <c r="A7" s="15" t="inlineStr">
        <is>
          <t>TPC-004</t>
        </is>
      </c>
      <c r="B7" s="15" t="inlineStr">
        <is>
          <t>Foundation</t>
        </is>
      </c>
      <c r="C7" s="15" t="inlineStr">
        <is>
          <t>API skeleton</t>
        </is>
      </c>
      <c r="D7" s="15" t="inlineStr">
        <is>
          <t>Critical</t>
        </is>
      </c>
      <c r="E7" s="15" t="n">
        <v>8</v>
      </c>
      <c r="F7" s="15" t="inlineStr">
        <is>
          <t>Backend</t>
        </is>
      </c>
      <c r="G7" s="15" t="inlineStr">
        <is>
          <t>TPC-002</t>
        </is>
      </c>
      <c r="H7" s="15" t="inlineStr">
        <is>
          <t>To Do</t>
        </is>
      </c>
      <c r="I7" s="15" t="inlineStr">
        <is>
          <t>Sí</t>
        </is>
      </c>
      <c r="J7" s="15" t="inlineStr"/>
      <c r="L7" s="25" t="inlineStr">
        <is>
          <t>Story points</t>
        </is>
      </c>
      <c r="M7" s="17">
        <f>SUM(E4:E17)</f>
        <v/>
      </c>
    </row>
    <row r="8" ht="24" customHeight="1">
      <c r="A8" s="15" t="inlineStr">
        <is>
          <t>TPC-005</t>
        </is>
      </c>
      <c r="B8" s="15" t="inlineStr">
        <is>
          <t>Foundation</t>
        </is>
      </c>
      <c r="C8" s="15" t="inlineStr">
        <is>
          <t>Design system demo</t>
        </is>
      </c>
      <c r="D8" s="15" t="inlineStr">
        <is>
          <t>High</t>
        </is>
      </c>
      <c r="E8" s="15" t="n">
        <v>5</v>
      </c>
      <c r="F8" s="15" t="inlineStr">
        <is>
          <t>Frontend</t>
        </is>
      </c>
      <c r="G8" s="15" t="inlineStr">
        <is>
          <t>TPC-001</t>
        </is>
      </c>
      <c r="H8" s="15" t="inlineStr">
        <is>
          <t>To Do</t>
        </is>
      </c>
      <c r="I8" s="15" t="inlineStr">
        <is>
          <t>Sí</t>
        </is>
      </c>
      <c r="J8" s="15" t="inlineStr"/>
      <c r="L8" s="25" t="inlineStr">
        <is>
          <t>Items</t>
        </is>
      </c>
      <c r="M8" s="17">
        <f>COUNTA(A4:A17)</f>
        <v/>
      </c>
    </row>
    <row r="9" ht="24" customHeight="1">
      <c r="A9" s="15" t="inlineStr">
        <is>
          <t>TPC-006</t>
        </is>
      </c>
      <c r="B9" s="15" t="inlineStr">
        <is>
          <t>Compliance</t>
        </is>
      </c>
      <c r="C9" s="15" t="inlineStr">
        <is>
          <t>Regulatory risk memo</t>
        </is>
      </c>
      <c r="D9" s="15" t="inlineStr">
        <is>
          <t>Critical</t>
        </is>
      </c>
      <c r="E9" s="15" t="n">
        <v>3</v>
      </c>
      <c r="F9" s="15" t="inlineStr">
        <is>
          <t>Legal/PO</t>
        </is>
      </c>
      <c r="G9" s="15" t="inlineStr">
        <is>
          <t>TPC-001</t>
        </is>
      </c>
      <c r="H9" s="15" t="inlineStr">
        <is>
          <t>To Do</t>
        </is>
      </c>
      <c r="I9" s="15" t="inlineStr">
        <is>
          <t>Sí</t>
        </is>
      </c>
      <c r="J9" s="15" t="inlineStr"/>
      <c r="L9" s="25" t="inlineStr">
        <is>
          <t>Riesgo dominante</t>
        </is>
      </c>
      <c r="M9" s="17" t="inlineStr">
        <is>
          <t>Compliance</t>
        </is>
      </c>
    </row>
    <row r="10" ht="24" customHeight="1">
      <c r="A10" s="15" t="inlineStr">
        <is>
          <t>TPC-007</t>
        </is>
      </c>
      <c r="B10" s="15" t="inlineStr">
        <is>
          <t>QA/Demo</t>
        </is>
      </c>
      <c r="C10" s="15" t="inlineStr">
        <is>
          <t>Demo script v1</t>
        </is>
      </c>
      <c r="D10" s="15" t="inlineStr">
        <is>
          <t>High</t>
        </is>
      </c>
      <c r="E10" s="15" t="n">
        <v>2</v>
      </c>
      <c r="F10" s="15" t="inlineStr">
        <is>
          <t>PO</t>
        </is>
      </c>
      <c r="G10" s="15" t="inlineStr">
        <is>
          <t>TPC-005,TPC-006</t>
        </is>
      </c>
      <c r="H10" s="15" t="inlineStr">
        <is>
          <t>To Do</t>
        </is>
      </c>
      <c r="I10" s="15" t="inlineStr">
        <is>
          <t>Sí</t>
        </is>
      </c>
      <c r="J10" s="15" t="inlineStr"/>
    </row>
    <row r="11" ht="24" customHeight="1">
      <c r="A11" s="15" t="inlineStr">
        <is>
          <t>TPC-008</t>
        </is>
      </c>
      <c r="B11" s="15" t="inlineStr">
        <is>
          <t>Foundation</t>
        </is>
      </c>
      <c r="C11" s="15" t="inlineStr">
        <is>
          <t>Definition of Ready / Done</t>
        </is>
      </c>
      <c r="D11" s="15" t="inlineStr">
        <is>
          <t>High</t>
        </is>
      </c>
      <c r="E11" s="15" t="n">
        <v>2</v>
      </c>
      <c r="F11" s="15" t="inlineStr">
        <is>
          <t>SM</t>
        </is>
      </c>
      <c r="G11" s="15" t="inlineStr">
        <is>
          <t>TPC-001</t>
        </is>
      </c>
      <c r="H11" s="15" t="inlineStr">
        <is>
          <t>To Do</t>
        </is>
      </c>
      <c r="I11" s="15" t="inlineStr">
        <is>
          <t>Sí</t>
        </is>
      </c>
      <c r="J11" s="15" t="inlineStr"/>
    </row>
    <row r="12" ht="24" customHeight="1">
      <c r="A12" s="15" t="inlineStr">
        <is>
          <t>TPC-009</t>
        </is>
      </c>
      <c r="B12" s="15" t="inlineStr">
        <is>
          <t>Integrations</t>
        </is>
      </c>
      <c r="C12" s="15" t="inlineStr">
        <is>
          <t>Provider decision matrix</t>
        </is>
      </c>
      <c r="D12" s="15" t="inlineStr">
        <is>
          <t>High</t>
        </is>
      </c>
      <c r="E12" s="15" t="n">
        <v>3</v>
      </c>
      <c r="F12" s="15" t="inlineStr">
        <is>
          <t>PO</t>
        </is>
      </c>
      <c r="G12" s="15" t="inlineStr">
        <is>
          <t>TPC-006</t>
        </is>
      </c>
      <c r="H12" s="15" t="inlineStr">
        <is>
          <t>To Do</t>
        </is>
      </c>
      <c r="I12" s="15" t="inlineStr">
        <is>
          <t>Sí</t>
        </is>
      </c>
      <c r="J12" s="15" t="inlineStr"/>
    </row>
    <row r="13" ht="24" customHeight="1">
      <c r="A13" s="15" t="inlineStr">
        <is>
          <t>TPC-010</t>
        </is>
      </c>
      <c r="B13" s="15" t="inlineStr">
        <is>
          <t>Security</t>
        </is>
      </c>
      <c r="C13" s="15" t="inlineStr">
        <is>
          <t>Audit baseline</t>
        </is>
      </c>
      <c r="D13" s="15" t="inlineStr">
        <is>
          <t>High</t>
        </is>
      </c>
      <c r="E13" s="15" t="n">
        <v>3</v>
      </c>
      <c r="F13" s="15" t="inlineStr">
        <is>
          <t>Backend</t>
        </is>
      </c>
      <c r="G13" s="15" t="inlineStr">
        <is>
          <t>TPC-004</t>
        </is>
      </c>
      <c r="H13" s="15" t="inlineStr">
        <is>
          <t>To Do</t>
        </is>
      </c>
      <c r="I13" s="15" t="inlineStr">
        <is>
          <t>Sí</t>
        </is>
      </c>
      <c r="J13" s="15" t="inlineStr"/>
    </row>
    <row r="14" ht="24" customHeight="1">
      <c r="A14" s="15" t="inlineStr">
        <is>
          <t>TPC-053</t>
        </is>
      </c>
      <c r="B14" s="15" t="inlineStr">
        <is>
          <t>Security</t>
        </is>
      </c>
      <c r="C14" s="15" t="inlineStr">
        <is>
          <t>Secrets &amp; env governance</t>
        </is>
      </c>
      <c r="D14" s="15" t="inlineStr">
        <is>
          <t>High</t>
        </is>
      </c>
      <c r="E14" s="15" t="n">
        <v>3</v>
      </c>
      <c r="F14" s="15" t="inlineStr">
        <is>
          <t>DevOps</t>
        </is>
      </c>
      <c r="G14" s="15" t="inlineStr">
        <is>
          <t>TPC-003</t>
        </is>
      </c>
      <c r="H14" s="15" t="inlineStr">
        <is>
          <t>To Do</t>
        </is>
      </c>
      <c r="I14" s="15" t="inlineStr">
        <is>
          <t>Sí</t>
        </is>
      </c>
      <c r="J14" s="15" t="inlineStr"/>
    </row>
    <row r="15" ht="24" customHeight="1">
      <c r="A15" s="15" t="inlineStr">
        <is>
          <t>TPC-061</t>
        </is>
      </c>
      <c r="B15" s="15" t="inlineStr">
        <is>
          <t>Compliance</t>
        </is>
      </c>
      <c r="C15" s="15" t="inlineStr">
        <is>
          <t>Claims review gate</t>
        </is>
      </c>
      <c r="D15" s="15" t="inlineStr">
        <is>
          <t>Critical</t>
        </is>
      </c>
      <c r="E15" s="15" t="n">
        <v>3</v>
      </c>
      <c r="F15" s="15" t="inlineStr">
        <is>
          <t>Legal/PO</t>
        </is>
      </c>
      <c r="G15" s="15" t="inlineStr">
        <is>
          <t>TPC-006</t>
        </is>
      </c>
      <c r="H15" s="15" t="inlineStr">
        <is>
          <t>To Do</t>
        </is>
      </c>
      <c r="I15" s="15" t="inlineStr">
        <is>
          <t>Sí</t>
        </is>
      </c>
      <c r="J15" s="15" t="inlineStr"/>
    </row>
    <row r="16" ht="24" customHeight="1">
      <c r="A16" s="15" t="inlineStr">
        <is>
          <t>TPC-063</t>
        </is>
      </c>
      <c r="B16" s="15" t="inlineStr">
        <is>
          <t>Foundation</t>
        </is>
      </c>
      <c r="C16" s="15" t="inlineStr">
        <is>
          <t>Artifact pack roadmap</t>
        </is>
      </c>
      <c r="D16" s="15" t="inlineStr">
        <is>
          <t>Medium</t>
        </is>
      </c>
      <c r="E16" s="15" t="n">
        <v>2</v>
      </c>
      <c r="F16" s="15" t="inlineStr">
        <is>
          <t>PO</t>
        </is>
      </c>
      <c r="G16" s="15" t="inlineStr">
        <is>
          <t>TPC-001</t>
        </is>
      </c>
      <c r="H16" s="15" t="inlineStr">
        <is>
          <t>To Do</t>
        </is>
      </c>
      <c r="I16" s="15" t="inlineStr">
        <is>
          <t>Sí</t>
        </is>
      </c>
      <c r="J16" s="15" t="inlineStr"/>
    </row>
    <row r="17" ht="24" customHeight="1">
      <c r="A17" s="15" t="inlineStr">
        <is>
          <t>TPC-067</t>
        </is>
      </c>
      <c r="B17" s="15" t="inlineStr">
        <is>
          <t>Health Phase 3</t>
        </is>
      </c>
      <c r="C17" s="15" t="inlineStr">
        <is>
          <t>Health deferred guardrail</t>
        </is>
      </c>
      <c r="D17" s="15" t="inlineStr">
        <is>
          <t>Medium</t>
        </is>
      </c>
      <c r="E17" s="15" t="n">
        <v>2</v>
      </c>
      <c r="F17" s="15" t="inlineStr">
        <is>
          <t>PO</t>
        </is>
      </c>
      <c r="G17" s="15" t="inlineStr">
        <is>
          <t>TPC-001</t>
        </is>
      </c>
      <c r="H17" s="15" t="inlineStr">
        <is>
          <t>To Do</t>
        </is>
      </c>
      <c r="I17" s="15" t="inlineStr">
        <is>
          <t>Sí</t>
        </is>
      </c>
      <c r="J17" s="15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7" customWidth="1" min="3" max="3"/>
    <col width="10" customWidth="1" min="4" max="4"/>
    <col width="10" customWidth="1" min="5" max="5"/>
    <col width="10" customWidth="1" min="6" max="6"/>
    <col width="41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42" customWidth="1" min="13" max="13"/>
  </cols>
  <sheetData>
    <row r="1" ht="24" customHeight="1">
      <c r="A1" s="1" t="inlineStr">
        <is>
          <t>Sprint 1 plan</t>
        </is>
      </c>
    </row>
    <row r="2" ht="24" customHeight="1"/>
    <row r="3" ht="24" customHeight="1">
      <c r="A3" s="18" t="inlineStr">
        <is>
          <t>ID</t>
        </is>
      </c>
      <c r="B3" s="18" t="inlineStr">
        <is>
          <t>Epic</t>
        </is>
      </c>
      <c r="C3" s="18" t="inlineStr">
        <is>
          <t>Feature</t>
        </is>
      </c>
      <c r="D3" s="18" t="inlineStr">
        <is>
          <t>Priority</t>
        </is>
      </c>
      <c r="E3" s="18" t="inlineStr">
        <is>
          <t>SP</t>
        </is>
      </c>
      <c r="F3" s="18" t="inlineStr">
        <is>
          <t>Owner</t>
        </is>
      </c>
      <c r="G3" s="18" t="inlineStr">
        <is>
          <t>Dependencies</t>
        </is>
      </c>
      <c r="H3" s="18" t="inlineStr">
        <is>
          <t>Status</t>
        </is>
      </c>
      <c r="I3" s="18" t="inlineStr">
        <is>
          <t>Goal fit</t>
        </is>
      </c>
      <c r="J3" s="18" t="inlineStr">
        <is>
          <t>Comments</t>
        </is>
      </c>
      <c r="L3" s="11" t="inlineStr">
        <is>
          <t>Meta</t>
        </is>
      </c>
      <c r="M3" s="11" t="inlineStr">
        <is>
          <t>Detalle</t>
        </is>
      </c>
    </row>
    <row r="4" ht="24" customHeight="1">
      <c r="A4" s="15" t="inlineStr">
        <is>
          <t>TPC-011</t>
        </is>
      </c>
      <c r="B4" s="15" t="inlineStr">
        <is>
          <t>Identity &amp; Roles</t>
        </is>
      </c>
      <c r="C4" s="15" t="inlineStr">
        <is>
          <t>Organizations</t>
        </is>
      </c>
      <c r="D4" s="15" t="inlineStr">
        <is>
          <t>Critical</t>
        </is>
      </c>
      <c r="E4" s="15" t="n">
        <v>5</v>
      </c>
      <c r="F4" s="15" t="inlineStr">
        <is>
          <t>Backend</t>
        </is>
      </c>
      <c r="G4" s="15" t="inlineStr">
        <is>
          <t>TPC-004</t>
        </is>
      </c>
      <c r="H4" s="15" t="inlineStr">
        <is>
          <t>To Do</t>
        </is>
      </c>
      <c r="I4" s="15" t="inlineStr">
        <is>
          <t>Sí</t>
        </is>
      </c>
      <c r="J4" s="15" t="inlineStr"/>
      <c r="L4" s="25" t="inlineStr">
        <is>
          <t>Inicio</t>
        </is>
      </c>
      <c r="M4" s="26" t="n">
        <v>46103</v>
      </c>
    </row>
    <row r="5" ht="24" customHeight="1">
      <c r="A5" s="15" t="inlineStr">
        <is>
          <t>TPC-012</t>
        </is>
      </c>
      <c r="B5" s="15" t="inlineStr">
        <is>
          <t>Identity &amp; Roles</t>
        </is>
      </c>
      <c r="C5" s="15" t="inlineStr">
        <is>
          <t>User onboarding</t>
        </is>
      </c>
      <c r="D5" s="15" t="inlineStr">
        <is>
          <t>Critical</t>
        </is>
      </c>
      <c r="E5" s="15" t="n">
        <v>5</v>
      </c>
      <c r="F5" s="15" t="inlineStr">
        <is>
          <t>Backend</t>
        </is>
      </c>
      <c r="G5" s="15" t="inlineStr">
        <is>
          <t>TPC-004</t>
        </is>
      </c>
      <c r="H5" s="15" t="inlineStr">
        <is>
          <t>To Do</t>
        </is>
      </c>
      <c r="I5" s="15" t="inlineStr">
        <is>
          <t>Sí</t>
        </is>
      </c>
      <c r="J5" s="15" t="inlineStr"/>
      <c r="L5" s="25" t="inlineStr">
        <is>
          <t>Fin</t>
        </is>
      </c>
      <c r="M5" s="26" t="n">
        <v>46116</v>
      </c>
    </row>
    <row r="6" ht="24" customHeight="1">
      <c r="A6" s="15" t="inlineStr">
        <is>
          <t>TPC-013</t>
        </is>
      </c>
      <c r="B6" s="15" t="inlineStr">
        <is>
          <t>Identity &amp; Roles</t>
        </is>
      </c>
      <c r="C6" s="15" t="inlineStr">
        <is>
          <t>Roles &amp; permissions</t>
        </is>
      </c>
      <c r="D6" s="15" t="inlineStr">
        <is>
          <t>Critical</t>
        </is>
      </c>
      <c r="E6" s="15" t="n">
        <v>8</v>
      </c>
      <c r="F6" s="15" t="inlineStr">
        <is>
          <t>Backend</t>
        </is>
      </c>
      <c r="G6" s="15" t="inlineStr">
        <is>
          <t>TPC-011,TPC-012</t>
        </is>
      </c>
      <c r="H6" s="15" t="inlineStr">
        <is>
          <t>To Do</t>
        </is>
      </c>
      <c r="I6" s="15" t="inlineStr">
        <is>
          <t>Sí</t>
        </is>
      </c>
      <c r="J6" s="15" t="inlineStr"/>
      <c r="L6" s="25" t="inlineStr">
        <is>
          <t>Objetivo</t>
        </is>
      </c>
      <c r="M6" s="17" t="inlineStr">
        <is>
          <t>Hacer recorrible el corazón del producto con 6 flujos MVP.</t>
        </is>
      </c>
    </row>
    <row r="7" ht="24" customHeight="1">
      <c r="A7" s="15" t="inlineStr">
        <is>
          <t>TPC-014</t>
        </is>
      </c>
      <c r="B7" s="15" t="inlineStr">
        <is>
          <t>Identity &amp; Roles</t>
        </is>
      </c>
      <c r="C7" s="15" t="inlineStr">
        <is>
          <t>Staff directory</t>
        </is>
      </c>
      <c r="D7" s="15" t="inlineStr">
        <is>
          <t>High</t>
        </is>
      </c>
      <c r="E7" s="15" t="n">
        <v>5</v>
      </c>
      <c r="F7" s="15" t="inlineStr">
        <is>
          <t>Backend</t>
        </is>
      </c>
      <c r="G7" s="15" t="inlineStr">
        <is>
          <t>TPC-013</t>
        </is>
      </c>
      <c r="H7" s="15" t="inlineStr">
        <is>
          <t>To Do</t>
        </is>
      </c>
      <c r="I7" s="15" t="inlineStr">
        <is>
          <t>Sí</t>
        </is>
      </c>
      <c r="J7" s="15" t="inlineStr"/>
      <c r="L7" s="25" t="inlineStr">
        <is>
          <t>Story points</t>
        </is>
      </c>
      <c r="M7" s="17">
        <f>SUM(E4:E46)</f>
        <v/>
      </c>
    </row>
    <row r="8" ht="24" customHeight="1">
      <c r="A8" s="15" t="inlineStr">
        <is>
          <t>TPC-015</t>
        </is>
      </c>
      <c r="B8" s="15" t="inlineStr">
        <is>
          <t>Identity &amp; Roles</t>
        </is>
      </c>
      <c r="C8" s="15" t="inlineStr">
        <is>
          <t>Risk profile intake</t>
        </is>
      </c>
      <c r="D8" s="15" t="inlineStr">
        <is>
          <t>High</t>
        </is>
      </c>
      <c r="E8" s="15" t="n">
        <v>3</v>
      </c>
      <c r="F8" s="15" t="inlineStr">
        <is>
          <t>Frontend</t>
        </is>
      </c>
      <c r="G8" s="15" t="inlineStr">
        <is>
          <t>TPC-012</t>
        </is>
      </c>
      <c r="H8" s="15" t="inlineStr">
        <is>
          <t>To Do</t>
        </is>
      </c>
      <c r="I8" s="15" t="inlineStr">
        <is>
          <t>Sí</t>
        </is>
      </c>
      <c r="J8" s="15" t="inlineStr"/>
      <c r="L8" s="25" t="inlineStr">
        <is>
          <t>Items</t>
        </is>
      </c>
      <c r="M8" s="17">
        <f>COUNTA(A4:A46)</f>
        <v/>
      </c>
    </row>
    <row r="9" ht="24" customHeight="1">
      <c r="A9" s="15" t="inlineStr">
        <is>
          <t>TPC-016</t>
        </is>
      </c>
      <c r="B9" s="15" t="inlineStr">
        <is>
          <t>Wallet Core</t>
        </is>
      </c>
      <c r="C9" s="15" t="inlineStr">
        <is>
          <t>Wallet accounts</t>
        </is>
      </c>
      <c r="D9" s="15" t="inlineStr">
        <is>
          <t>Critical</t>
        </is>
      </c>
      <c r="E9" s="15" t="n">
        <v>5</v>
      </c>
      <c r="F9" s="15" t="inlineStr">
        <is>
          <t>Backend</t>
        </is>
      </c>
      <c r="G9" s="15" t="inlineStr">
        <is>
          <t>TPC-011</t>
        </is>
      </c>
      <c r="H9" s="15" t="inlineStr">
        <is>
          <t>To Do</t>
        </is>
      </c>
      <c r="I9" s="15" t="inlineStr">
        <is>
          <t>Sí</t>
        </is>
      </c>
      <c r="J9" s="15" t="inlineStr"/>
      <c r="L9" s="25" t="inlineStr">
        <is>
          <t>Riesgo dominante</t>
        </is>
      </c>
      <c r="M9" s="17" t="inlineStr">
        <is>
          <t>Integraciones / calidad</t>
        </is>
      </c>
    </row>
    <row r="10" ht="24" customHeight="1">
      <c r="A10" s="15" t="inlineStr">
        <is>
          <t>TPC-017</t>
        </is>
      </c>
      <c r="B10" s="15" t="inlineStr">
        <is>
          <t>Wallet Core</t>
        </is>
      </c>
      <c r="C10" s="15" t="inlineStr">
        <is>
          <t>Balances</t>
        </is>
      </c>
      <c r="D10" s="15" t="inlineStr">
        <is>
          <t>Critical</t>
        </is>
      </c>
      <c r="E10" s="15" t="n">
        <v>3</v>
      </c>
      <c r="F10" s="15" t="inlineStr">
        <is>
          <t>Backend</t>
        </is>
      </c>
      <c r="G10" s="15" t="inlineStr">
        <is>
          <t>TPC-016</t>
        </is>
      </c>
      <c r="H10" s="15" t="inlineStr">
        <is>
          <t>To Do</t>
        </is>
      </c>
      <c r="I10" s="15" t="inlineStr">
        <is>
          <t>Sí</t>
        </is>
      </c>
      <c r="J10" s="15" t="inlineStr"/>
    </row>
    <row r="11" ht="24" customHeight="1">
      <c r="A11" s="15" t="inlineStr">
        <is>
          <t>TPC-018</t>
        </is>
      </c>
      <c r="B11" s="15" t="inlineStr">
        <is>
          <t>Wallet Core</t>
        </is>
      </c>
      <c r="C11" s="15" t="inlineStr">
        <is>
          <t>Movements</t>
        </is>
      </c>
      <c r="D11" s="15" t="inlineStr">
        <is>
          <t>Critical</t>
        </is>
      </c>
      <c r="E11" s="15" t="n">
        <v>5</v>
      </c>
      <c r="F11" s="15" t="inlineStr">
        <is>
          <t>Backend</t>
        </is>
      </c>
      <c r="G11" s="15" t="inlineStr">
        <is>
          <t>TPC-016</t>
        </is>
      </c>
      <c r="H11" s="15" t="inlineStr">
        <is>
          <t>To Do</t>
        </is>
      </c>
      <c r="I11" s="15" t="inlineStr">
        <is>
          <t>Sí</t>
        </is>
      </c>
      <c r="J11" s="15" t="inlineStr"/>
    </row>
    <row r="12" ht="24" customHeight="1">
      <c r="A12" s="15" t="inlineStr">
        <is>
          <t>TPC-019</t>
        </is>
      </c>
      <c r="B12" s="15" t="inlineStr">
        <is>
          <t>Wallet Core</t>
        </is>
      </c>
      <c r="C12" s="15" t="inlineStr">
        <is>
          <t>Internal transfers</t>
        </is>
      </c>
      <c r="D12" s="15" t="inlineStr">
        <is>
          <t>Critical</t>
        </is>
      </c>
      <c r="E12" s="15" t="n">
        <v>8</v>
      </c>
      <c r="F12" s="15" t="inlineStr">
        <is>
          <t>Backend</t>
        </is>
      </c>
      <c r="G12" s="15" t="inlineStr">
        <is>
          <t>TPC-017,TPC-018,TPC-033</t>
        </is>
      </c>
      <c r="H12" s="15" t="inlineStr">
        <is>
          <t>To Do</t>
        </is>
      </c>
      <c r="I12" s="15" t="inlineStr">
        <is>
          <t>Sí</t>
        </is>
      </c>
      <c r="J12" s="15" t="inlineStr"/>
    </row>
    <row r="13" ht="24" customHeight="1">
      <c r="A13" s="15" t="inlineStr">
        <is>
          <t>TPC-020</t>
        </is>
      </c>
      <c r="B13" s="15" t="inlineStr">
        <is>
          <t>Wallet Core</t>
        </is>
      </c>
      <c r="C13" s="15" t="inlineStr">
        <is>
          <t>Beneficiaries</t>
        </is>
      </c>
      <c r="D13" s="15" t="inlineStr">
        <is>
          <t>High</t>
        </is>
      </c>
      <c r="E13" s="15" t="n">
        <v>3</v>
      </c>
      <c r="F13" s="15" t="inlineStr">
        <is>
          <t>Backend</t>
        </is>
      </c>
      <c r="G13" s="15" t="inlineStr">
        <is>
          <t>TPC-016</t>
        </is>
      </c>
      <c r="H13" s="15" t="inlineStr">
        <is>
          <t>To Do</t>
        </is>
      </c>
      <c r="I13" s="15" t="inlineStr">
        <is>
          <t>Sí</t>
        </is>
      </c>
      <c r="J13" s="15" t="inlineStr"/>
    </row>
    <row r="14" ht="24" customHeight="1">
      <c r="A14" s="15" t="inlineStr">
        <is>
          <t>TPC-021</t>
        </is>
      </c>
      <c r="B14" s="15" t="inlineStr">
        <is>
          <t>Wallet Core</t>
        </is>
      </c>
      <c r="C14" s="15" t="inlineStr">
        <is>
          <t>Deposit/withdraw requests</t>
        </is>
      </c>
      <c r="D14" s="15" t="inlineStr">
        <is>
          <t>High</t>
        </is>
      </c>
      <c r="E14" s="15" t="n">
        <v>5</v>
      </c>
      <c r="F14" s="15" t="inlineStr">
        <is>
          <t>Backend</t>
        </is>
      </c>
      <c r="G14" s="15" t="inlineStr">
        <is>
          <t>TPC-017,TPC-034</t>
        </is>
      </c>
      <c r="H14" s="15" t="inlineStr">
        <is>
          <t>To Do</t>
        </is>
      </c>
      <c r="I14" s="15" t="inlineStr">
        <is>
          <t>Sí</t>
        </is>
      </c>
      <c r="J14" s="15" t="inlineStr"/>
    </row>
    <row r="15" ht="24" customHeight="1">
      <c r="A15" s="15" t="inlineStr">
        <is>
          <t>TPC-022</t>
        </is>
      </c>
      <c r="B15" s="15" t="inlineStr">
        <is>
          <t>Wallet Core</t>
        </is>
      </c>
      <c r="C15" s="15" t="inlineStr">
        <is>
          <t>Threshold policy</t>
        </is>
      </c>
      <c r="D15" s="15" t="inlineStr">
        <is>
          <t>Critical</t>
        </is>
      </c>
      <c r="E15" s="15" t="n">
        <v>5</v>
      </c>
      <c r="F15" s="15" t="inlineStr">
        <is>
          <t>Backend</t>
        </is>
      </c>
      <c r="G15" s="15" t="inlineStr">
        <is>
          <t>TPC-033,TPC-034</t>
        </is>
      </c>
      <c r="H15" s="15" t="inlineStr">
        <is>
          <t>To Do</t>
        </is>
      </c>
      <c r="I15" s="15" t="inlineStr">
        <is>
          <t>Sí</t>
        </is>
      </c>
      <c r="J15" s="15" t="inlineStr"/>
    </row>
    <row r="16" ht="24" customHeight="1">
      <c r="A16" s="15" t="inlineStr">
        <is>
          <t>TPC-023</t>
        </is>
      </c>
      <c r="B16" s="15" t="inlineStr">
        <is>
          <t>Mr. Shark</t>
        </is>
      </c>
      <c r="C16" s="15" t="inlineStr">
        <is>
          <t>Command intake</t>
        </is>
      </c>
      <c r="D16" s="15" t="inlineStr">
        <is>
          <t>Critical</t>
        </is>
      </c>
      <c r="E16" s="15" t="n">
        <v>8</v>
      </c>
      <c r="F16" s="15" t="inlineStr">
        <is>
          <t>Backend</t>
        </is>
      </c>
      <c r="G16" s="15" t="inlineStr">
        <is>
          <t>TPC-004</t>
        </is>
      </c>
      <c r="H16" s="15" t="inlineStr">
        <is>
          <t>To Do</t>
        </is>
      </c>
      <c r="I16" s="15" t="inlineStr">
        <is>
          <t>Sí</t>
        </is>
      </c>
      <c r="J16" s="15" t="inlineStr"/>
    </row>
    <row r="17" ht="24" customHeight="1">
      <c r="A17" s="15" t="inlineStr">
        <is>
          <t>TPC-024</t>
        </is>
      </c>
      <c r="B17" s="15" t="inlineStr">
        <is>
          <t>Mr. Shark</t>
        </is>
      </c>
      <c r="C17" s="15" t="inlineStr">
        <is>
          <t>Intent catalog</t>
        </is>
      </c>
      <c r="D17" s="15" t="inlineStr">
        <is>
          <t>Critical</t>
        </is>
      </c>
      <c r="E17" s="15" t="n">
        <v>5</v>
      </c>
      <c r="F17" s="15" t="inlineStr">
        <is>
          <t>PO/AI</t>
        </is>
      </c>
      <c r="G17" s="15" t="inlineStr">
        <is>
          <t>TPC-023,TPC-001</t>
        </is>
      </c>
      <c r="H17" s="15" t="inlineStr">
        <is>
          <t>To Do</t>
        </is>
      </c>
      <c r="I17" s="15" t="inlineStr">
        <is>
          <t>Sí</t>
        </is>
      </c>
      <c r="J17" s="15" t="inlineStr"/>
    </row>
    <row r="18" ht="24" customHeight="1">
      <c r="A18" s="15" t="inlineStr">
        <is>
          <t>TPC-025</t>
        </is>
      </c>
      <c r="B18" s="15" t="inlineStr">
        <is>
          <t>Mr. Shark</t>
        </is>
      </c>
      <c r="C18" s="15" t="inlineStr">
        <is>
          <t>Context &amp; memory</t>
        </is>
      </c>
      <c r="D18" s="15" t="inlineStr">
        <is>
          <t>High</t>
        </is>
      </c>
      <c r="E18" s="15" t="n">
        <v>5</v>
      </c>
      <c r="F18" s="15" t="inlineStr">
        <is>
          <t>Backend</t>
        </is>
      </c>
      <c r="G18" s="15" t="inlineStr">
        <is>
          <t>TPC-024,TPC-015</t>
        </is>
      </c>
      <c r="H18" s="15" t="inlineStr">
        <is>
          <t>To Do</t>
        </is>
      </c>
      <c r="I18" s="15" t="inlineStr">
        <is>
          <t>Sí</t>
        </is>
      </c>
      <c r="J18" s="15" t="inlineStr"/>
    </row>
    <row r="19" ht="24" customHeight="1">
      <c r="A19" s="15" t="inlineStr">
        <is>
          <t>TPC-026</t>
        </is>
      </c>
      <c r="B19" s="15" t="inlineStr">
        <is>
          <t>Mr. Shark</t>
        </is>
      </c>
      <c r="C19" s="15" t="inlineStr">
        <is>
          <t>Liquidity response</t>
        </is>
      </c>
      <c r="D19" s="15" t="inlineStr">
        <is>
          <t>Critical</t>
        </is>
      </c>
      <c r="E19" s="15" t="n">
        <v>3</v>
      </c>
      <c r="F19" s="15" t="inlineStr">
        <is>
          <t>Backend</t>
        </is>
      </c>
      <c r="G19" s="15" t="inlineStr">
        <is>
          <t>TPC-017,TPC-023</t>
        </is>
      </c>
      <c r="H19" s="15" t="inlineStr">
        <is>
          <t>To Do</t>
        </is>
      </c>
      <c r="I19" s="15" t="inlineStr">
        <is>
          <t>Sí</t>
        </is>
      </c>
      <c r="J19" s="15" t="inlineStr"/>
    </row>
    <row r="20" ht="24" customHeight="1">
      <c r="A20" s="15" t="inlineStr">
        <is>
          <t>TPC-027</t>
        </is>
      </c>
      <c r="B20" s="15" t="inlineStr">
        <is>
          <t>Mr. Shark</t>
        </is>
      </c>
      <c r="C20" s="15" t="inlineStr">
        <is>
          <t>Transfer command</t>
        </is>
      </c>
      <c r="D20" s="15" t="inlineStr">
        <is>
          <t>Critical</t>
        </is>
      </c>
      <c r="E20" s="15" t="n">
        <v>8</v>
      </c>
      <c r="F20" s="15" t="inlineStr">
        <is>
          <t>Backend</t>
        </is>
      </c>
      <c r="G20" s="15" t="inlineStr">
        <is>
          <t>TPC-019,TPC-022,TPC-023</t>
        </is>
      </c>
      <c r="H20" s="15" t="inlineStr">
        <is>
          <t>To Do</t>
        </is>
      </c>
      <c r="I20" s="15" t="inlineStr">
        <is>
          <t>Sí</t>
        </is>
      </c>
      <c r="J20" s="15" t="inlineStr"/>
    </row>
    <row r="21" ht="24" customHeight="1">
      <c r="A21" s="15" t="inlineStr">
        <is>
          <t>TPC-028</t>
        </is>
      </c>
      <c r="B21" s="15" t="inlineStr">
        <is>
          <t>Mr. Shark</t>
        </is>
      </c>
      <c r="C21" s="15" t="inlineStr">
        <is>
          <t>Portfolio command</t>
        </is>
      </c>
      <c r="D21" s="15" t="inlineStr">
        <is>
          <t>High</t>
        </is>
      </c>
      <c r="E21" s="15" t="n">
        <v>5</v>
      </c>
      <c r="F21" s="15" t="inlineStr">
        <is>
          <t>Backend</t>
        </is>
      </c>
      <c r="G21" s="15" t="inlineStr">
        <is>
          <t>TPC-030,TPC-031,TPC-023</t>
        </is>
      </c>
      <c r="H21" s="15" t="inlineStr">
        <is>
          <t>To Do</t>
        </is>
      </c>
      <c r="I21" s="15" t="inlineStr">
        <is>
          <t>Sí</t>
        </is>
      </c>
      <c r="J21" s="15" t="inlineStr"/>
    </row>
    <row r="22" ht="24" customHeight="1">
      <c r="A22" s="15" t="inlineStr">
        <is>
          <t>TPC-030</t>
        </is>
      </c>
      <c r="B22" s="15" t="inlineStr">
        <is>
          <t>Investments</t>
        </is>
      </c>
      <c r="C22" s="15" t="inlineStr">
        <is>
          <t>Portfolio summary</t>
        </is>
      </c>
      <c r="D22" s="15" t="inlineStr">
        <is>
          <t>Critical</t>
        </is>
      </c>
      <c r="E22" s="15" t="n">
        <v>5</v>
      </c>
      <c r="F22" s="15" t="inlineStr">
        <is>
          <t>Backend</t>
        </is>
      </c>
      <c r="G22" s="15" t="inlineStr">
        <is>
          <t>TPC-004</t>
        </is>
      </c>
      <c r="H22" s="15" t="inlineStr">
        <is>
          <t>To Do</t>
        </is>
      </c>
      <c r="I22" s="15" t="inlineStr">
        <is>
          <t>Sí</t>
        </is>
      </c>
      <c r="J22" s="15" t="inlineStr"/>
    </row>
    <row r="23" ht="24" customHeight="1">
      <c r="A23" s="15" t="inlineStr">
        <is>
          <t>TPC-031</t>
        </is>
      </c>
      <c r="B23" s="15" t="inlineStr">
        <is>
          <t>Investments</t>
        </is>
      </c>
      <c r="C23" s="15" t="inlineStr">
        <is>
          <t>Simple performance</t>
        </is>
      </c>
      <c r="D23" s="15" t="inlineStr">
        <is>
          <t>High</t>
        </is>
      </c>
      <c r="E23" s="15" t="n">
        <v>5</v>
      </c>
      <c r="F23" s="15" t="inlineStr">
        <is>
          <t>Backend</t>
        </is>
      </c>
      <c r="G23" s="15" t="inlineStr">
        <is>
          <t>TPC-030</t>
        </is>
      </c>
      <c r="H23" s="15" t="inlineStr">
        <is>
          <t>To Do</t>
        </is>
      </c>
      <c r="I23" s="15" t="inlineStr">
        <is>
          <t>Sí</t>
        </is>
      </c>
      <c r="J23" s="15" t="inlineStr"/>
    </row>
    <row r="24" ht="24" customHeight="1">
      <c r="A24" s="15" t="inlineStr">
        <is>
          <t>TPC-032</t>
        </is>
      </c>
      <c r="B24" s="15" t="inlineStr">
        <is>
          <t>Investments</t>
        </is>
      </c>
      <c r="C24" s="15" t="inlineStr">
        <is>
          <t>Risk simulations</t>
        </is>
      </c>
      <c r="D24" s="15" t="inlineStr">
        <is>
          <t>High</t>
        </is>
      </c>
      <c r="E24" s="15" t="n">
        <v>5</v>
      </c>
      <c r="F24" s="15" t="inlineStr">
        <is>
          <t>Backend</t>
        </is>
      </c>
      <c r="G24" s="15" t="inlineStr">
        <is>
          <t>TPC-030,TPC-015</t>
        </is>
      </c>
      <c r="H24" s="15" t="inlineStr">
        <is>
          <t>To Do</t>
        </is>
      </c>
      <c r="I24" s="15" t="inlineStr">
        <is>
          <t>Sí</t>
        </is>
      </c>
      <c r="J24" s="15" t="inlineStr"/>
    </row>
    <row r="25" ht="24" customHeight="1">
      <c r="A25" s="15" t="inlineStr">
        <is>
          <t>TPC-033</t>
        </is>
      </c>
      <c r="B25" s="15" t="inlineStr">
        <is>
          <t>Investments</t>
        </is>
      </c>
      <c r="C25" s="15" t="inlineStr">
        <is>
          <t>Order intent</t>
        </is>
      </c>
      <c r="D25" s="15" t="inlineStr">
        <is>
          <t>Critical</t>
        </is>
      </c>
      <c r="E25" s="15" t="n">
        <v>5</v>
      </c>
      <c r="F25" s="15" t="inlineStr">
        <is>
          <t>Backend</t>
        </is>
      </c>
      <c r="G25" s="15" t="inlineStr">
        <is>
          <t>TPC-030,TPC-006</t>
        </is>
      </c>
      <c r="H25" s="15" t="inlineStr">
        <is>
          <t>To Do</t>
        </is>
      </c>
      <c r="I25" s="15" t="inlineStr">
        <is>
          <t>Sí</t>
        </is>
      </c>
      <c r="J25" s="15" t="inlineStr"/>
    </row>
    <row r="26" ht="24" customHeight="1">
      <c r="A26" s="15" t="inlineStr">
        <is>
          <t>TPC-034</t>
        </is>
      </c>
      <c r="B26" s="15" t="inlineStr">
        <is>
          <t>Investments</t>
        </is>
      </c>
      <c r="C26" s="15" t="inlineStr">
        <is>
          <t>Broker connector mock</t>
        </is>
      </c>
      <c r="D26" s="15" t="inlineStr">
        <is>
          <t>Critical</t>
        </is>
      </c>
      <c r="E26" s="15" t="n">
        <v>8</v>
      </c>
      <c r="F26" s="15" t="inlineStr">
        <is>
          <t>Backend</t>
        </is>
      </c>
      <c r="G26" s="15" t="inlineStr">
        <is>
          <t>TPC-009</t>
        </is>
      </c>
      <c r="H26" s="15" t="inlineStr">
        <is>
          <t>To Do</t>
        </is>
      </c>
      <c r="I26" s="15" t="inlineStr">
        <is>
          <t>Sí</t>
        </is>
      </c>
      <c r="J26" s="15" t="inlineStr"/>
    </row>
    <row r="27" ht="24" customHeight="1">
      <c r="A27" s="15" t="inlineStr">
        <is>
          <t>TPC-037</t>
        </is>
      </c>
      <c r="B27" s="15" t="inlineStr">
        <is>
          <t>Approvals</t>
        </is>
      </c>
      <c r="C27" s="15" t="inlineStr">
        <is>
          <t>Approval object</t>
        </is>
      </c>
      <c r="D27" s="15" t="inlineStr">
        <is>
          <t>Critical</t>
        </is>
      </c>
      <c r="E27" s="15" t="n">
        <v>5</v>
      </c>
      <c r="F27" s="15" t="inlineStr">
        <is>
          <t>Backend</t>
        </is>
      </c>
      <c r="G27" s="15" t="inlineStr">
        <is>
          <t>TPC-004</t>
        </is>
      </c>
      <c r="H27" s="15" t="inlineStr">
        <is>
          <t>To Do</t>
        </is>
      </c>
      <c r="I27" s="15" t="inlineStr">
        <is>
          <t>Sí</t>
        </is>
      </c>
      <c r="J27" s="15" t="inlineStr"/>
    </row>
    <row r="28" ht="24" customHeight="1">
      <c r="A28" s="15" t="inlineStr">
        <is>
          <t>TPC-038</t>
        </is>
      </c>
      <c r="B28" s="15" t="inlineStr">
        <is>
          <t>Approvals</t>
        </is>
      </c>
      <c r="C28" s="15" t="inlineStr">
        <is>
          <t>Approval policies</t>
        </is>
      </c>
      <c r="D28" s="15" t="inlineStr">
        <is>
          <t>Critical</t>
        </is>
      </c>
      <c r="E28" s="15" t="n">
        <v>5</v>
      </c>
      <c r="F28" s="15" t="inlineStr">
        <is>
          <t>Backend</t>
        </is>
      </c>
      <c r="G28" s="15" t="inlineStr">
        <is>
          <t>TPC-037,TPC-022</t>
        </is>
      </c>
      <c r="H28" s="15" t="inlineStr">
        <is>
          <t>To Do</t>
        </is>
      </c>
      <c r="I28" s="15" t="inlineStr">
        <is>
          <t>Sí</t>
        </is>
      </c>
      <c r="J28" s="15" t="inlineStr"/>
    </row>
    <row r="29" ht="24" customHeight="1">
      <c r="A29" s="15" t="inlineStr">
        <is>
          <t>TPC-039</t>
        </is>
      </c>
      <c r="B29" s="15" t="inlineStr">
        <is>
          <t>Approvals</t>
        </is>
      </c>
      <c r="C29" s="15" t="inlineStr">
        <is>
          <t>Approval inbox</t>
        </is>
      </c>
      <c r="D29" s="15" t="inlineStr">
        <is>
          <t>Critical</t>
        </is>
      </c>
      <c r="E29" s="15" t="n">
        <v>5</v>
      </c>
      <c r="F29" s="15" t="inlineStr">
        <is>
          <t>Frontend</t>
        </is>
      </c>
      <c r="G29" s="15" t="inlineStr">
        <is>
          <t>TPC-037</t>
        </is>
      </c>
      <c r="H29" s="15" t="inlineStr">
        <is>
          <t>To Do</t>
        </is>
      </c>
      <c r="I29" s="15" t="inlineStr">
        <is>
          <t>Sí</t>
        </is>
      </c>
      <c r="J29" s="15" t="inlineStr"/>
    </row>
    <row r="30" ht="24" customHeight="1">
      <c r="A30" s="15" t="inlineStr">
        <is>
          <t>TPC-040</t>
        </is>
      </c>
      <c r="B30" s="15" t="inlineStr">
        <is>
          <t>Approvals</t>
        </is>
      </c>
      <c r="C30" s="15" t="inlineStr">
        <is>
          <t>Approval notifications</t>
        </is>
      </c>
      <c r="D30" s="15" t="inlineStr">
        <is>
          <t>High</t>
        </is>
      </c>
      <c r="E30" s="15" t="n">
        <v>3</v>
      </c>
      <c r="F30" s="15" t="inlineStr">
        <is>
          <t>Frontend</t>
        </is>
      </c>
      <c r="G30" s="15" t="inlineStr">
        <is>
          <t>TPC-039,TPC-023</t>
        </is>
      </c>
      <c r="H30" s="15" t="inlineStr">
        <is>
          <t>To Do</t>
        </is>
      </c>
      <c r="I30" s="15" t="inlineStr">
        <is>
          <t>Sí</t>
        </is>
      </c>
      <c r="J30" s="15" t="inlineStr"/>
    </row>
    <row r="31" ht="24" customHeight="1">
      <c r="A31" s="15" t="inlineStr">
        <is>
          <t>TPC-041</t>
        </is>
      </c>
      <c r="B31" s="15" t="inlineStr">
        <is>
          <t>Audit</t>
        </is>
      </c>
      <c r="C31" s="15" t="inlineStr">
        <is>
          <t>Audit event stream</t>
        </is>
      </c>
      <c r="D31" s="15" t="inlineStr">
        <is>
          <t>Critical</t>
        </is>
      </c>
      <c r="E31" s="15" t="n">
        <v>5</v>
      </c>
      <c r="F31" s="15" t="inlineStr">
        <is>
          <t>Backend</t>
        </is>
      </c>
      <c r="G31" s="15" t="inlineStr">
        <is>
          <t>TPC-010,TPC-037</t>
        </is>
      </c>
      <c r="H31" s="15" t="inlineStr">
        <is>
          <t>To Do</t>
        </is>
      </c>
      <c r="I31" s="15" t="inlineStr">
        <is>
          <t>Sí</t>
        </is>
      </c>
      <c r="J31" s="15" t="inlineStr"/>
    </row>
    <row r="32" ht="24" customHeight="1">
      <c r="A32" s="15" t="inlineStr">
        <is>
          <t>TPC-042</t>
        </is>
      </c>
      <c r="B32" s="15" t="inlineStr">
        <is>
          <t>Audit</t>
        </is>
      </c>
      <c r="C32" s="15" t="inlineStr">
        <is>
          <t>Immutable timeline view</t>
        </is>
      </c>
      <c r="D32" s="15" t="inlineStr">
        <is>
          <t>High</t>
        </is>
      </c>
      <c r="E32" s="15" t="n">
        <v>3</v>
      </c>
      <c r="F32" s="15" t="inlineStr">
        <is>
          <t>Frontend</t>
        </is>
      </c>
      <c r="G32" s="15" t="inlineStr">
        <is>
          <t>TPC-041</t>
        </is>
      </c>
      <c r="H32" s="15" t="inlineStr">
        <is>
          <t>To Do</t>
        </is>
      </c>
      <c r="I32" s="15" t="inlineStr">
        <is>
          <t>Sí</t>
        </is>
      </c>
      <c r="J32" s="15" t="inlineStr"/>
    </row>
    <row r="33" ht="24" customHeight="1">
      <c r="A33" s="15" t="inlineStr">
        <is>
          <t>TPC-043</t>
        </is>
      </c>
      <c r="B33" s="15" t="inlineStr">
        <is>
          <t>Capataz AI</t>
        </is>
      </c>
      <c r="C33" s="15" t="inlineStr">
        <is>
          <t>Task creation</t>
        </is>
      </c>
      <c r="D33" s="15" t="inlineStr">
        <is>
          <t>High</t>
        </is>
      </c>
      <c r="E33" s="15" t="n">
        <v>5</v>
      </c>
      <c r="F33" s="15" t="inlineStr">
        <is>
          <t>Backend</t>
        </is>
      </c>
      <c r="G33" s="15" t="inlineStr">
        <is>
          <t>TPC-014,TPC-023</t>
        </is>
      </c>
      <c r="H33" s="15" t="inlineStr">
        <is>
          <t>To Do</t>
        </is>
      </c>
      <c r="I33" s="15" t="inlineStr">
        <is>
          <t>Sí</t>
        </is>
      </c>
      <c r="J33" s="15" t="inlineStr"/>
    </row>
    <row r="34" ht="24" customHeight="1">
      <c r="A34" s="15" t="inlineStr">
        <is>
          <t>TPC-044</t>
        </is>
      </c>
      <c r="B34" s="15" t="inlineStr">
        <is>
          <t>Capataz AI</t>
        </is>
      </c>
      <c r="C34" s="15" t="inlineStr">
        <is>
          <t>Assignment routing</t>
        </is>
      </c>
      <c r="D34" s="15" t="inlineStr">
        <is>
          <t>High</t>
        </is>
      </c>
      <c r="E34" s="15" t="n">
        <v>5</v>
      </c>
      <c r="F34" s="15" t="inlineStr">
        <is>
          <t>Backend</t>
        </is>
      </c>
      <c r="G34" s="15" t="inlineStr">
        <is>
          <t>TPC-043</t>
        </is>
      </c>
      <c r="H34" s="15" t="inlineStr">
        <is>
          <t>To Do</t>
        </is>
      </c>
      <c r="I34" s="15" t="inlineStr">
        <is>
          <t>Sí</t>
        </is>
      </c>
      <c r="J34" s="15" t="inlineStr"/>
    </row>
    <row r="35" ht="24" customHeight="1">
      <c r="A35" s="15" t="inlineStr">
        <is>
          <t>TPC-045</t>
        </is>
      </c>
      <c r="B35" s="15" t="inlineStr">
        <is>
          <t>Capataz AI</t>
        </is>
      </c>
      <c r="C35" s="15" t="inlineStr">
        <is>
          <t>Reminders</t>
        </is>
      </c>
      <c r="D35" s="15" t="inlineStr">
        <is>
          <t>High</t>
        </is>
      </c>
      <c r="E35" s="15" t="n">
        <v>3</v>
      </c>
      <c r="F35" s="15" t="inlineStr">
        <is>
          <t>Backend</t>
        </is>
      </c>
      <c r="G35" s="15" t="inlineStr">
        <is>
          <t>TPC-043</t>
        </is>
      </c>
      <c r="H35" s="15" t="inlineStr">
        <is>
          <t>To Do</t>
        </is>
      </c>
      <c r="I35" s="15" t="inlineStr">
        <is>
          <t>Sí</t>
        </is>
      </c>
      <c r="J35" s="15" t="inlineStr"/>
    </row>
    <row r="36" ht="24" customHeight="1">
      <c r="A36" s="15" t="inlineStr">
        <is>
          <t>TPC-046</t>
        </is>
      </c>
      <c r="B36" s="15" t="inlineStr">
        <is>
          <t>Capataz AI</t>
        </is>
      </c>
      <c r="C36" s="15" t="inlineStr">
        <is>
          <t>Workflow status</t>
        </is>
      </c>
      <c r="D36" s="15" t="inlineStr">
        <is>
          <t>High</t>
        </is>
      </c>
      <c r="E36" s="15" t="n">
        <v>5</v>
      </c>
      <c r="F36" s="15" t="inlineStr">
        <is>
          <t>Backend</t>
        </is>
      </c>
      <c r="G36" s="15" t="inlineStr">
        <is>
          <t>TPC-044</t>
        </is>
      </c>
      <c r="H36" s="15" t="inlineStr">
        <is>
          <t>To Do</t>
        </is>
      </c>
      <c r="I36" s="15" t="inlineStr">
        <is>
          <t>Sí</t>
        </is>
      </c>
      <c r="J36" s="15" t="inlineStr"/>
    </row>
    <row r="37" ht="24" customHeight="1">
      <c r="A37" s="15" t="inlineStr">
        <is>
          <t>TPC-047</t>
        </is>
      </c>
      <c r="B37" s="15" t="inlineStr">
        <is>
          <t>Capataz AI</t>
        </is>
      </c>
      <c r="C37" s="15" t="inlineStr">
        <is>
          <t>WhatsApp delegation</t>
        </is>
      </c>
      <c r="D37" s="15" t="inlineStr">
        <is>
          <t>Critical</t>
        </is>
      </c>
      <c r="E37" s="15" t="n">
        <v>5</v>
      </c>
      <c r="F37" s="15" t="inlineStr">
        <is>
          <t>Backend</t>
        </is>
      </c>
      <c r="G37" s="15" t="inlineStr">
        <is>
          <t>TPC-023,TPC-043</t>
        </is>
      </c>
      <c r="H37" s="15" t="inlineStr">
        <is>
          <t>To Do</t>
        </is>
      </c>
      <c r="I37" s="15" t="inlineStr">
        <is>
          <t>Sí</t>
        </is>
      </c>
      <c r="J37" s="15" t="inlineStr"/>
    </row>
    <row r="38" ht="24" customHeight="1">
      <c r="A38" s="15" t="inlineStr">
        <is>
          <t>TPC-049</t>
        </is>
      </c>
      <c r="B38" s="15" t="inlineStr">
        <is>
          <t>Dashboard</t>
        </is>
      </c>
      <c r="C38" s="15" t="inlineStr">
        <is>
          <t>Executive dashboard</t>
        </is>
      </c>
      <c r="D38" s="15" t="inlineStr">
        <is>
          <t>Critical</t>
        </is>
      </c>
      <c r="E38" s="15" t="n">
        <v>8</v>
      </c>
      <c r="F38" s="15" t="inlineStr">
        <is>
          <t>Frontend</t>
        </is>
      </c>
      <c r="G38" s="15" t="inlineStr">
        <is>
          <t>TPC-017,TPC-030,TPC-039,TPC-046,TPC-042</t>
        </is>
      </c>
      <c r="H38" s="15" t="inlineStr">
        <is>
          <t>To Do</t>
        </is>
      </c>
      <c r="I38" s="15" t="inlineStr">
        <is>
          <t>Sí</t>
        </is>
      </c>
      <c r="J38" s="15" t="inlineStr"/>
    </row>
    <row r="39" ht="24" customHeight="1">
      <c r="A39" s="15" t="inlineStr">
        <is>
          <t>TPC-050</t>
        </is>
      </c>
      <c r="B39" s="15" t="inlineStr">
        <is>
          <t>Dashboard</t>
        </is>
      </c>
      <c r="C39" s="15" t="inlineStr">
        <is>
          <t>Risk alerts</t>
        </is>
      </c>
      <c r="D39" s="15" t="inlineStr">
        <is>
          <t>High</t>
        </is>
      </c>
      <c r="E39" s="15" t="n">
        <v>5</v>
      </c>
      <c r="F39" s="15" t="inlineStr">
        <is>
          <t>Frontend</t>
        </is>
      </c>
      <c r="G39" s="15" t="inlineStr">
        <is>
          <t>TPC-022,TPC-041</t>
        </is>
      </c>
      <c r="H39" s="15" t="inlineStr">
        <is>
          <t>To Do</t>
        </is>
      </c>
      <c r="I39" s="15" t="inlineStr">
        <is>
          <t>Sí</t>
        </is>
      </c>
      <c r="J39" s="15" t="inlineStr"/>
    </row>
    <row r="40" ht="24" customHeight="1">
      <c r="A40" s="15" t="inlineStr">
        <is>
          <t>TPC-051</t>
        </is>
      </c>
      <c r="B40" s="15" t="inlineStr">
        <is>
          <t>Dashboard</t>
        </is>
      </c>
      <c r="C40" s="15" t="inlineStr">
        <is>
          <t>Command center widget</t>
        </is>
      </c>
      <c r="D40" s="15" t="inlineStr">
        <is>
          <t>High</t>
        </is>
      </c>
      <c r="E40" s="15" t="n">
        <v>3</v>
      </c>
      <c r="F40" s="15" t="inlineStr">
        <is>
          <t>Frontend</t>
        </is>
      </c>
      <c r="G40" s="15" t="inlineStr">
        <is>
          <t>TPC-023</t>
        </is>
      </c>
      <c r="H40" s="15" t="inlineStr">
        <is>
          <t>To Do</t>
        </is>
      </c>
      <c r="I40" s="15" t="inlineStr">
        <is>
          <t>Sí</t>
        </is>
      </c>
      <c r="J40" s="15" t="inlineStr"/>
    </row>
    <row r="41" ht="24" customHeight="1">
      <c r="A41" s="15" t="inlineStr">
        <is>
          <t>TPC-056</t>
        </is>
      </c>
      <c r="B41" s="15" t="inlineStr">
        <is>
          <t>QA/Demo</t>
        </is>
      </c>
      <c r="C41" s="15" t="inlineStr">
        <is>
          <t>Demo data package</t>
        </is>
      </c>
      <c r="D41" s="15" t="inlineStr">
        <is>
          <t>Critical</t>
        </is>
      </c>
      <c r="E41" s="15" t="n">
        <v>3</v>
      </c>
      <c r="F41" s="15" t="inlineStr">
        <is>
          <t>PO</t>
        </is>
      </c>
      <c r="G41" s="15" t="inlineStr">
        <is>
          <t>TPC-049</t>
        </is>
      </c>
      <c r="H41" s="15" t="inlineStr">
        <is>
          <t>To Do</t>
        </is>
      </c>
      <c r="I41" s="15" t="inlineStr">
        <is>
          <t>Sí</t>
        </is>
      </c>
      <c r="J41" s="15" t="inlineStr"/>
    </row>
    <row r="42" ht="24" customHeight="1">
      <c r="A42" s="15" t="inlineStr">
        <is>
          <t>TPC-058</t>
        </is>
      </c>
      <c r="B42" s="15" t="inlineStr">
        <is>
          <t>Integrations</t>
        </is>
      </c>
      <c r="C42" s="15" t="inlineStr">
        <is>
          <t>WhatsApp provider setup</t>
        </is>
      </c>
      <c r="D42" s="15" t="inlineStr">
        <is>
          <t>Critical</t>
        </is>
      </c>
      <c r="E42" s="15" t="n">
        <v>5</v>
      </c>
      <c r="F42" s="15" t="inlineStr">
        <is>
          <t>Backend</t>
        </is>
      </c>
      <c r="G42" s="15" t="inlineStr">
        <is>
          <t>TPC-001</t>
        </is>
      </c>
      <c r="H42" s="15" t="inlineStr">
        <is>
          <t>To Do</t>
        </is>
      </c>
      <c r="I42" s="15" t="inlineStr">
        <is>
          <t>Sí</t>
        </is>
      </c>
      <c r="J42" s="15" t="inlineStr"/>
    </row>
    <row r="43" ht="24" customHeight="1">
      <c r="A43" s="15" t="inlineStr">
        <is>
          <t>TPC-059</t>
        </is>
      </c>
      <c r="B43" s="15" t="inlineStr">
        <is>
          <t>Integrations</t>
        </is>
      </c>
      <c r="C43" s="15" t="inlineStr">
        <is>
          <t>STP/IFPE discovery</t>
        </is>
      </c>
      <c r="D43" s="15" t="inlineStr">
        <is>
          <t>Critical</t>
        </is>
      </c>
      <c r="E43" s="15" t="n">
        <v>5</v>
      </c>
      <c r="F43" s="15" t="inlineStr">
        <is>
          <t>PO/Legal</t>
        </is>
      </c>
      <c r="G43" s="15" t="inlineStr">
        <is>
          <t>TPC-006</t>
        </is>
      </c>
      <c r="H43" s="15" t="inlineStr">
        <is>
          <t>To Do</t>
        </is>
      </c>
      <c r="I43" s="15" t="inlineStr">
        <is>
          <t>Sí</t>
        </is>
      </c>
      <c r="J43" s="15" t="inlineStr"/>
    </row>
    <row r="44" ht="24" customHeight="1">
      <c r="A44" s="15" t="inlineStr">
        <is>
          <t>TPC-062</t>
        </is>
      </c>
      <c r="B44" s="15" t="inlineStr">
        <is>
          <t>Compliance</t>
        </is>
      </c>
      <c r="C44" s="15" t="inlineStr">
        <is>
          <t>Terms &amp; disclaimers</t>
        </is>
      </c>
      <c r="D44" s="15" t="inlineStr">
        <is>
          <t>High</t>
        </is>
      </c>
      <c r="E44" s="15" t="n">
        <v>3</v>
      </c>
      <c r="F44" s="15" t="inlineStr">
        <is>
          <t>Frontend</t>
        </is>
      </c>
      <c r="G44" s="15" t="inlineStr">
        <is>
          <t>TPC-032,TPC-033</t>
        </is>
      </c>
      <c r="H44" s="15" t="inlineStr">
        <is>
          <t>To Do</t>
        </is>
      </c>
      <c r="I44" s="15" t="inlineStr">
        <is>
          <t>Sí</t>
        </is>
      </c>
      <c r="J44" s="15" t="inlineStr"/>
    </row>
    <row r="45" ht="24" customHeight="1">
      <c r="A45" s="15" t="inlineStr">
        <is>
          <t>TPC-065</t>
        </is>
      </c>
      <c r="B45" s="15" t="inlineStr">
        <is>
          <t>Pilot</t>
        </is>
      </c>
      <c r="C45" s="15" t="inlineStr">
        <is>
          <t>Vertical selection</t>
        </is>
      </c>
      <c r="D45" s="15" t="inlineStr">
        <is>
          <t>Medium</t>
        </is>
      </c>
      <c r="E45" s="15" t="n">
        <v>2</v>
      </c>
      <c r="F45" s="15" t="inlineStr">
        <is>
          <t>PO</t>
        </is>
      </c>
      <c r="G45" s="15" t="inlineStr">
        <is>
          <t>TPC-001</t>
        </is>
      </c>
      <c r="H45" s="15" t="inlineStr">
        <is>
          <t>To Do</t>
        </is>
      </c>
      <c r="I45" s="15" t="inlineStr">
        <is>
          <t>Sí</t>
        </is>
      </c>
      <c r="J45" s="15" t="inlineStr"/>
    </row>
    <row r="46" ht="24" customHeight="1">
      <c r="A46" s="15" t="inlineStr">
        <is>
          <t>TPC-069</t>
        </is>
      </c>
      <c r="B46" s="15" t="inlineStr">
        <is>
          <t>Documentation</t>
        </is>
      </c>
      <c r="C46" s="15" t="inlineStr">
        <is>
          <t>API reference v1</t>
        </is>
      </c>
      <c r="D46" s="15" t="inlineStr">
        <is>
          <t>High</t>
        </is>
      </c>
      <c r="E46" s="15" t="n">
        <v>3</v>
      </c>
      <c r="F46" s="15" t="inlineStr">
        <is>
          <t>Backend</t>
        </is>
      </c>
      <c r="G46" s="15" t="inlineStr">
        <is>
          <t>TPC-004</t>
        </is>
      </c>
      <c r="H46" s="15" t="inlineStr">
        <is>
          <t>To Do</t>
        </is>
      </c>
      <c r="I46" s="15" t="inlineStr">
        <is>
          <t>Sí</t>
        </is>
      </c>
      <c r="J46" s="15" t="inlineStr"/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0" customWidth="1" min="4" max="4"/>
    <col width="10" customWidth="1" min="5" max="5"/>
    <col width="10" customWidth="1" min="6" max="6"/>
    <col width="33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42" customWidth="1" min="13" max="13"/>
  </cols>
  <sheetData>
    <row r="1" ht="24" customHeight="1">
      <c r="A1" s="1" t="inlineStr">
        <is>
          <t>Sprint 2 plan</t>
        </is>
      </c>
    </row>
    <row r="2" ht="24" customHeight="1"/>
    <row r="3" ht="24" customHeight="1">
      <c r="A3" s="18" t="inlineStr">
        <is>
          <t>ID</t>
        </is>
      </c>
      <c r="B3" s="18" t="inlineStr">
        <is>
          <t>Epic</t>
        </is>
      </c>
      <c r="C3" s="18" t="inlineStr">
        <is>
          <t>Feature</t>
        </is>
      </c>
      <c r="D3" s="18" t="inlineStr">
        <is>
          <t>Priority</t>
        </is>
      </c>
      <c r="E3" s="18" t="inlineStr">
        <is>
          <t>SP</t>
        </is>
      </c>
      <c r="F3" s="18" t="inlineStr">
        <is>
          <t>Owner</t>
        </is>
      </c>
      <c r="G3" s="18" t="inlineStr">
        <is>
          <t>Dependencies</t>
        </is>
      </c>
      <c r="H3" s="18" t="inlineStr">
        <is>
          <t>Status</t>
        </is>
      </c>
      <c r="I3" s="18" t="inlineStr">
        <is>
          <t>Goal fit</t>
        </is>
      </c>
      <c r="J3" s="18" t="inlineStr">
        <is>
          <t>Comments</t>
        </is>
      </c>
      <c r="L3" s="11" t="inlineStr">
        <is>
          <t>Meta</t>
        </is>
      </c>
      <c r="M3" s="11" t="inlineStr">
        <is>
          <t>Detalle</t>
        </is>
      </c>
    </row>
    <row r="4" ht="24" customHeight="1">
      <c r="A4" s="15" t="inlineStr">
        <is>
          <t>TPC-029</t>
        </is>
      </c>
      <c r="B4" s="15" t="inlineStr">
        <is>
          <t>Mr. Shark</t>
        </is>
      </c>
      <c r="C4" s="15" t="inlineStr">
        <is>
          <t>Escalation to human</t>
        </is>
      </c>
      <c r="D4" s="15" t="inlineStr">
        <is>
          <t>High</t>
        </is>
      </c>
      <c r="E4" s="15" t="n">
        <v>3</v>
      </c>
      <c r="F4" s="15" t="inlineStr">
        <is>
          <t>Backend</t>
        </is>
      </c>
      <c r="G4" s="15" t="inlineStr">
        <is>
          <t>TPC-024,TPC-022</t>
        </is>
      </c>
      <c r="H4" s="15" t="inlineStr">
        <is>
          <t>To Do</t>
        </is>
      </c>
      <c r="I4" s="15" t="inlineStr">
        <is>
          <t>Sí</t>
        </is>
      </c>
      <c r="J4" s="15" t="inlineStr"/>
      <c r="L4" s="25" t="inlineStr">
        <is>
          <t>Inicio</t>
        </is>
      </c>
      <c r="M4" s="26" t="n">
        <v>46117</v>
      </c>
    </row>
    <row r="5" ht="24" customHeight="1">
      <c r="A5" s="15" t="inlineStr">
        <is>
          <t>TPC-035</t>
        </is>
      </c>
      <c r="B5" s="15" t="inlineStr">
        <is>
          <t>Investments</t>
        </is>
      </c>
      <c r="C5" s="15" t="inlineStr">
        <is>
          <t>tastytrade sandbox connector</t>
        </is>
      </c>
      <c r="D5" s="15" t="inlineStr">
        <is>
          <t>High</t>
        </is>
      </c>
      <c r="E5" s="15" t="n">
        <v>8</v>
      </c>
      <c r="F5" s="15" t="inlineStr">
        <is>
          <t>Backend</t>
        </is>
      </c>
      <c r="G5" s="15" t="inlineStr">
        <is>
          <t>TPC-034</t>
        </is>
      </c>
      <c r="H5" s="15" t="inlineStr">
        <is>
          <t>To Do</t>
        </is>
      </c>
      <c r="I5" s="15" t="inlineStr">
        <is>
          <t>Sí</t>
        </is>
      </c>
      <c r="J5" s="15" t="inlineStr"/>
      <c r="L5" s="25" t="inlineStr">
        <is>
          <t>Fin</t>
        </is>
      </c>
      <c r="M5" s="26" t="n">
        <v>46130</v>
      </c>
    </row>
    <row r="6" ht="24" customHeight="1">
      <c r="A6" s="15" t="inlineStr">
        <is>
          <t>TPC-036</t>
        </is>
      </c>
      <c r="B6" s="15" t="inlineStr">
        <is>
          <t>Investments</t>
        </is>
      </c>
      <c r="C6" s="15" t="inlineStr">
        <is>
          <t>Apex discovery package</t>
        </is>
      </c>
      <c r="D6" s="15" t="inlineStr">
        <is>
          <t>Medium</t>
        </is>
      </c>
      <c r="E6" s="15" t="n">
        <v>3</v>
      </c>
      <c r="F6" s="15" t="inlineStr">
        <is>
          <t>PO</t>
        </is>
      </c>
      <c r="G6" s="15" t="inlineStr">
        <is>
          <t>TPC-009</t>
        </is>
      </c>
      <c r="H6" s="15" t="inlineStr">
        <is>
          <t>To Do</t>
        </is>
      </c>
      <c r="I6" s="15" t="inlineStr">
        <is>
          <t>Sí</t>
        </is>
      </c>
      <c r="J6" s="15" t="inlineStr"/>
      <c r="L6" s="25" t="inlineStr">
        <is>
          <t>Objetivo</t>
        </is>
      </c>
      <c r="M6" s="17" t="inlineStr">
        <is>
          <t>Dejar la demo/piloto lista para repetirse con menos magia negra manual.</t>
        </is>
      </c>
    </row>
    <row r="7" ht="24" customHeight="1">
      <c r="A7" s="15" t="inlineStr">
        <is>
          <t>TPC-048</t>
        </is>
      </c>
      <c r="B7" s="15" t="inlineStr">
        <is>
          <t>Capataz AI</t>
        </is>
      </c>
      <c r="C7" s="15" t="inlineStr">
        <is>
          <t>Reporting</t>
        </is>
      </c>
      <c r="D7" s="15" t="inlineStr">
        <is>
          <t>Medium</t>
        </is>
      </c>
      <c r="E7" s="15" t="n">
        <v>3</v>
      </c>
      <c r="F7" s="15" t="inlineStr">
        <is>
          <t>Backend</t>
        </is>
      </c>
      <c r="G7" s="15" t="inlineStr">
        <is>
          <t>TPC-046</t>
        </is>
      </c>
      <c r="H7" s="15" t="inlineStr">
        <is>
          <t>To Do</t>
        </is>
      </c>
      <c r="I7" s="15" t="inlineStr">
        <is>
          <t>Sí</t>
        </is>
      </c>
      <c r="J7" s="15" t="inlineStr"/>
      <c r="L7" s="25" t="inlineStr">
        <is>
          <t>Story points</t>
        </is>
      </c>
      <c r="M7" s="17">
        <f>SUM(E4:E16)</f>
        <v/>
      </c>
    </row>
    <row r="8" ht="24" customHeight="1">
      <c r="A8" s="15" t="inlineStr">
        <is>
          <t>TPC-052</t>
        </is>
      </c>
      <c r="B8" s="15" t="inlineStr">
        <is>
          <t>Dashboard</t>
        </is>
      </c>
      <c r="C8" s="15" t="inlineStr">
        <is>
          <t>Responsive mobile view</t>
        </is>
      </c>
      <c r="D8" s="15" t="inlineStr">
        <is>
          <t>High</t>
        </is>
      </c>
      <c r="E8" s="15" t="n">
        <v>5</v>
      </c>
      <c r="F8" s="15" t="inlineStr">
        <is>
          <t>Frontend</t>
        </is>
      </c>
      <c r="G8" s="15" t="inlineStr">
        <is>
          <t>TPC-049</t>
        </is>
      </c>
      <c r="H8" s="15" t="inlineStr">
        <is>
          <t>To Do</t>
        </is>
      </c>
      <c r="I8" s="15" t="inlineStr">
        <is>
          <t>Sí</t>
        </is>
      </c>
      <c r="J8" s="15" t="inlineStr"/>
      <c r="L8" s="25" t="inlineStr">
        <is>
          <t>Items</t>
        </is>
      </c>
      <c r="M8" s="17">
        <f>COUNTA(A4:A16)</f>
        <v/>
      </c>
    </row>
    <row r="9" ht="24" customHeight="1">
      <c r="A9" s="15" t="inlineStr">
        <is>
          <t>TPC-054</t>
        </is>
      </c>
      <c r="B9" s="15" t="inlineStr">
        <is>
          <t>Security</t>
        </is>
      </c>
      <c r="C9" s="15" t="inlineStr">
        <is>
          <t>RBAC enforcement tests</t>
        </is>
      </c>
      <c r="D9" s="15" t="inlineStr">
        <is>
          <t>High</t>
        </is>
      </c>
      <c r="E9" s="15" t="n">
        <v>5</v>
      </c>
      <c r="F9" s="15" t="inlineStr">
        <is>
          <t>QA</t>
        </is>
      </c>
      <c r="G9" s="15" t="inlineStr">
        <is>
          <t>TPC-013</t>
        </is>
      </c>
      <c r="H9" s="15" t="inlineStr">
        <is>
          <t>To Do</t>
        </is>
      </c>
      <c r="I9" s="15" t="inlineStr">
        <is>
          <t>Sí</t>
        </is>
      </c>
      <c r="J9" s="15" t="inlineStr"/>
      <c r="L9" s="25" t="inlineStr">
        <is>
          <t>Riesgo dominante</t>
        </is>
      </c>
      <c r="M9" s="17" t="inlineStr">
        <is>
          <t>Integraciones / calidad</t>
        </is>
      </c>
    </row>
    <row r="10" ht="24" customHeight="1">
      <c r="A10" s="15" t="inlineStr">
        <is>
          <t>TPC-055</t>
        </is>
      </c>
      <c r="B10" s="15" t="inlineStr">
        <is>
          <t>QA/Demo</t>
        </is>
      </c>
      <c r="C10" s="15" t="inlineStr">
        <is>
          <t>QA smoke suite</t>
        </is>
      </c>
      <c r="D10" s="15" t="inlineStr">
        <is>
          <t>Critical</t>
        </is>
      </c>
      <c r="E10" s="15" t="n">
        <v>5</v>
      </c>
      <c r="F10" s="15" t="inlineStr">
        <is>
          <t>QA</t>
        </is>
      </c>
      <c r="G10" s="15" t="inlineStr">
        <is>
          <t>TPC-049,TPC-047,TPC-027,TPC-039</t>
        </is>
      </c>
      <c r="H10" s="15" t="inlineStr">
        <is>
          <t>To Do</t>
        </is>
      </c>
      <c r="I10" s="15" t="inlineStr">
        <is>
          <t>Sí</t>
        </is>
      </c>
      <c r="J10" s="15" t="inlineStr"/>
    </row>
    <row r="11" ht="24" customHeight="1">
      <c r="A11" s="15" t="inlineStr">
        <is>
          <t>TPC-057</t>
        </is>
      </c>
      <c r="B11" s="15" t="inlineStr">
        <is>
          <t>DevOps</t>
        </is>
      </c>
      <c r="C11" s="15" t="inlineStr">
        <is>
          <t>Observability base</t>
        </is>
      </c>
      <c r="D11" s="15" t="inlineStr">
        <is>
          <t>Medium</t>
        </is>
      </c>
      <c r="E11" s="15" t="n">
        <v>3</v>
      </c>
      <c r="F11" s="15" t="inlineStr">
        <is>
          <t>DevOps</t>
        </is>
      </c>
      <c r="G11" s="15" t="inlineStr">
        <is>
          <t>TPC-003,TPC-010</t>
        </is>
      </c>
      <c r="H11" s="15" t="inlineStr">
        <is>
          <t>To Do</t>
        </is>
      </c>
      <c r="I11" s="15" t="inlineStr">
        <is>
          <t>Sí</t>
        </is>
      </c>
      <c r="J11" s="15" t="inlineStr"/>
    </row>
    <row r="12" ht="24" customHeight="1">
      <c r="A12" s="15" t="inlineStr">
        <is>
          <t>TPC-060</t>
        </is>
      </c>
      <c r="B12" s="15" t="inlineStr">
        <is>
          <t>Integrations</t>
        </is>
      </c>
      <c r="C12" s="15" t="inlineStr">
        <is>
          <t>Payment rails abstraction</t>
        </is>
      </c>
      <c r="D12" s="15" t="inlineStr">
        <is>
          <t>High</t>
        </is>
      </c>
      <c r="E12" s="15" t="n">
        <v>5</v>
      </c>
      <c r="F12" s="15" t="inlineStr">
        <is>
          <t>Backend</t>
        </is>
      </c>
      <c r="G12" s="15" t="inlineStr">
        <is>
          <t>TPC-004,TPC-059</t>
        </is>
      </c>
      <c r="H12" s="15" t="inlineStr">
        <is>
          <t>To Do</t>
        </is>
      </c>
      <c r="I12" s="15" t="inlineStr">
        <is>
          <t>Sí</t>
        </is>
      </c>
      <c r="J12" s="15" t="inlineStr"/>
    </row>
    <row r="13" ht="24" customHeight="1">
      <c r="A13" s="15" t="inlineStr">
        <is>
          <t>TPC-064</t>
        </is>
      </c>
      <c r="B13" s="15" t="inlineStr">
        <is>
          <t>Pilot</t>
        </is>
      </c>
      <c r="C13" s="15" t="inlineStr">
        <is>
          <t>Pilot readiness checklist</t>
        </is>
      </c>
      <c r="D13" s="15" t="inlineStr">
        <is>
          <t>High</t>
        </is>
      </c>
      <c r="E13" s="15" t="n">
        <v>3</v>
      </c>
      <c r="F13" s="15" t="inlineStr">
        <is>
          <t>SM</t>
        </is>
      </c>
      <c r="G13" s="15" t="inlineStr">
        <is>
          <t>TPC-055,TPC-057,TPC-035</t>
        </is>
      </c>
      <c r="H13" s="15" t="inlineStr">
        <is>
          <t>To Do</t>
        </is>
      </c>
      <c r="I13" s="15" t="inlineStr">
        <is>
          <t>Sí</t>
        </is>
      </c>
      <c r="J13" s="15" t="inlineStr"/>
    </row>
    <row r="14" ht="24" customHeight="1">
      <c r="A14" s="15" t="inlineStr">
        <is>
          <t>TPC-066</t>
        </is>
      </c>
      <c r="B14" s="15" t="inlineStr">
        <is>
          <t>Analytics</t>
        </is>
      </c>
      <c r="C14" s="15" t="inlineStr">
        <is>
          <t>KPI baseline</t>
        </is>
      </c>
      <c r="D14" s="15" t="inlineStr">
        <is>
          <t>Medium</t>
        </is>
      </c>
      <c r="E14" s="15" t="n">
        <v>3</v>
      </c>
      <c r="F14" s="15" t="inlineStr">
        <is>
          <t>Backend</t>
        </is>
      </c>
      <c r="G14" s="15" t="inlineStr">
        <is>
          <t>TPC-041,TPC-046</t>
        </is>
      </c>
      <c r="H14" s="15" t="inlineStr">
        <is>
          <t>To Do</t>
        </is>
      </c>
      <c r="I14" s="15" t="inlineStr">
        <is>
          <t>Sí</t>
        </is>
      </c>
      <c r="J14" s="15" t="inlineStr"/>
    </row>
    <row r="15" ht="24" customHeight="1">
      <c r="A15" s="15" t="inlineStr">
        <is>
          <t>TPC-068</t>
        </is>
      </c>
      <c r="B15" s="15" t="inlineStr">
        <is>
          <t>Architecture</t>
        </is>
      </c>
      <c r="C15" s="15" t="inlineStr">
        <is>
          <t>Provider adapter pattern</t>
        </is>
      </c>
      <c r="D15" s="15" t="inlineStr">
        <is>
          <t>High</t>
        </is>
      </c>
      <c r="E15" s="15" t="n">
        <v>5</v>
      </c>
      <c r="F15" s="15" t="inlineStr">
        <is>
          <t>Backend</t>
        </is>
      </c>
      <c r="G15" s="15" t="inlineStr">
        <is>
          <t>TPC-034,TPC-058</t>
        </is>
      </c>
      <c r="H15" s="15" t="inlineStr">
        <is>
          <t>To Do</t>
        </is>
      </c>
      <c r="I15" s="15" t="inlineStr">
        <is>
          <t>Sí</t>
        </is>
      </c>
      <c r="J15" s="15" t="inlineStr"/>
    </row>
    <row r="16" ht="24" customHeight="1">
      <c r="A16" s="15" t="inlineStr">
        <is>
          <t>TPC-070</t>
        </is>
      </c>
      <c r="B16" s="15" t="inlineStr">
        <is>
          <t>Documentation</t>
        </is>
      </c>
      <c r="C16" s="15" t="inlineStr">
        <is>
          <t>Runbook demo/pilot</t>
        </is>
      </c>
      <c r="D16" s="15" t="inlineStr">
        <is>
          <t>High</t>
        </is>
      </c>
      <c r="E16" s="15" t="n">
        <v>3</v>
      </c>
      <c r="F16" s="15" t="inlineStr">
        <is>
          <t>SM</t>
        </is>
      </c>
      <c r="G16" s="15" t="inlineStr">
        <is>
          <t>TPC-055,TPC-056</t>
        </is>
      </c>
      <c r="H16" s="15" t="inlineStr">
        <is>
          <t>To Do</t>
        </is>
      </c>
      <c r="I16" s="15" t="inlineStr">
        <is>
          <t>Sí</t>
        </is>
      </c>
      <c r="J16" s="15" t="inlineStr"/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2" customWidth="1" min="4" max="4"/>
    <col width="12" customWidth="1" min="5" max="5"/>
    <col width="22" customWidth="1" min="6" max="6"/>
    <col width="42" customWidth="1" min="7" max="7"/>
    <col width="10" customWidth="1" min="8" max="8"/>
    <col width="29" customWidth="1" min="9" max="9"/>
    <col width="18" customWidth="1" min="10" max="10"/>
  </cols>
  <sheetData>
    <row r="1" ht="24" customHeight="1">
      <c r="A1" s="16" t="inlineStr">
        <is>
          <t>Rol</t>
        </is>
      </c>
      <c r="B1" s="16" t="inlineStr">
        <is>
          <t>Persona</t>
        </is>
      </c>
      <c r="C1" s="16" t="inlineStr">
        <is>
          <t>Sprint 0 %</t>
        </is>
      </c>
      <c r="D1" s="16" t="inlineStr">
        <is>
          <t>Sprint 1 %</t>
        </is>
      </c>
      <c r="E1" s="16" t="inlineStr">
        <is>
          <t>Sprint 2 %</t>
        </is>
      </c>
      <c r="F1" s="16" t="inlineStr">
        <is>
          <t>Capacidad pts/sprint</t>
        </is>
      </c>
      <c r="G1" s="16" t="inlineStr">
        <is>
          <t>Notas</t>
        </is>
      </c>
    </row>
    <row r="2" ht="24" customHeight="1">
      <c r="A2" s="17" t="inlineStr">
        <is>
          <t>PO / Sponsor</t>
        </is>
      </c>
      <c r="B2" s="17" t="inlineStr">
        <is>
          <t>Ricardo / negocio</t>
        </is>
      </c>
      <c r="C2" s="27" t="n">
        <v>40</v>
      </c>
      <c r="D2" s="27" t="n">
        <v>35</v>
      </c>
      <c r="E2" s="27" t="n">
        <v>30</v>
      </c>
      <c r="F2" s="17" t="n">
        <v>8</v>
      </c>
      <c r="G2" s="17" t="inlineStr">
        <is>
          <t>Define scope, decisiones, demo y prioridades</t>
        </is>
      </c>
      <c r="I2" s="28" t="inlineStr">
        <is>
          <t>Capacidad sugerida Sprint 0</t>
        </is>
      </c>
      <c r="J2" s="29">
        <f>SUM(F2:F8)*0.55</f>
        <v/>
      </c>
    </row>
    <row r="3" ht="24" customHeight="1">
      <c r="A3" s="17" t="inlineStr">
        <is>
          <t>Scrum Master</t>
        </is>
      </c>
      <c r="B3" s="17" t="inlineStr">
        <is>
          <t>SM</t>
        </is>
      </c>
      <c r="C3" s="27" t="n">
        <v>60</v>
      </c>
      <c r="D3" s="27" t="n">
        <v>60</v>
      </c>
      <c r="E3" s="27" t="n">
        <v>60</v>
      </c>
      <c r="F3" s="17" t="n">
        <v>5</v>
      </c>
      <c r="G3" s="17" t="inlineStr">
        <is>
          <t>Facilita y desbloquea</t>
        </is>
      </c>
      <c r="I3" s="28" t="inlineStr">
        <is>
          <t>Capacidad sugerida Sprint 1</t>
        </is>
      </c>
      <c r="J3" s="29">
        <f>SUM(F2:F8)*0.80</f>
        <v/>
      </c>
    </row>
    <row r="4" ht="24" customHeight="1">
      <c r="A4" s="17" t="inlineStr">
        <is>
          <t>Tech Lead</t>
        </is>
      </c>
      <c r="B4" s="17" t="inlineStr">
        <is>
          <t>Lead técnico</t>
        </is>
      </c>
      <c r="C4" s="27" t="n">
        <v>70</v>
      </c>
      <c r="D4" s="27" t="n">
        <v>70</v>
      </c>
      <c r="E4" s="27" t="n">
        <v>70</v>
      </c>
      <c r="F4" s="17" t="n">
        <v>13</v>
      </c>
      <c r="G4" s="17" t="inlineStr">
        <is>
          <t>Arquitectura, riesgos y calidad</t>
        </is>
      </c>
      <c r="I4" s="28" t="inlineStr">
        <is>
          <t>Capacidad sugerida Sprint 2</t>
        </is>
      </c>
      <c r="J4" s="29">
        <f>SUM(F2:F8)*0.75</f>
        <v/>
      </c>
    </row>
    <row r="5" ht="24" customHeight="1">
      <c r="A5" s="17" t="inlineStr">
        <is>
          <t>Backend</t>
        </is>
      </c>
      <c r="B5" s="17" t="inlineStr">
        <is>
          <t>Dev backend</t>
        </is>
      </c>
      <c r="C5" s="27" t="n">
        <v>80</v>
      </c>
      <c r="D5" s="27" t="n">
        <v>80</v>
      </c>
      <c r="E5" s="27" t="n">
        <v>80</v>
      </c>
      <c r="F5" s="17" t="n">
        <v>18</v>
      </c>
      <c r="G5" s="17" t="inlineStr">
        <is>
          <t>Wallet, approvals, integrations, audit</t>
        </is>
      </c>
    </row>
    <row r="6" ht="24" customHeight="1">
      <c r="A6" s="17" t="inlineStr">
        <is>
          <t>Frontend</t>
        </is>
      </c>
      <c r="B6" s="17" t="inlineStr">
        <is>
          <t>Dev frontend</t>
        </is>
      </c>
      <c r="C6" s="27" t="n">
        <v>70</v>
      </c>
      <c r="D6" s="27" t="n">
        <v>80</v>
      </c>
      <c r="E6" s="27" t="n">
        <v>70</v>
      </c>
      <c r="F6" s="17" t="n">
        <v>13</v>
      </c>
      <c r="G6" s="17" t="inlineStr">
        <is>
          <t>Dashboard, onboarding, approvals UI</t>
        </is>
      </c>
    </row>
    <row r="7" ht="24" customHeight="1">
      <c r="A7" s="17" t="inlineStr">
        <is>
          <t>AI / Orchestration</t>
        </is>
      </c>
      <c r="B7" s="17" t="inlineStr">
        <is>
          <t>AI engineer</t>
        </is>
      </c>
      <c r="C7" s="27" t="n">
        <v>60</v>
      </c>
      <c r="D7" s="27" t="n">
        <v>70</v>
      </c>
      <c r="E7" s="27" t="n">
        <v>60</v>
      </c>
      <c r="F7" s="17" t="n">
        <v>8</v>
      </c>
      <c r="G7" s="17" t="inlineStr">
        <is>
          <t>Mr. Shark, intents, context, Capataz</t>
        </is>
      </c>
    </row>
    <row r="8" ht="24" customHeight="1">
      <c r="A8" s="17" t="inlineStr">
        <is>
          <t>DevOps / QA</t>
        </is>
      </c>
      <c r="B8" s="17" t="inlineStr">
        <is>
          <t>DevOps-QA</t>
        </is>
      </c>
      <c r="C8" s="27" t="n">
        <v>40</v>
      </c>
      <c r="D8" s="27" t="n">
        <v>50</v>
      </c>
      <c r="E8" s="27" t="n">
        <v>60</v>
      </c>
      <c r="F8" s="17" t="n">
        <v>5</v>
      </c>
      <c r="G8" s="17" t="inlineStr">
        <is>
          <t>Ambientes, smoke suite, observabilidad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1" customWidth="1" min="3" max="3"/>
    <col width="42" customWidth="1" min="4" max="4"/>
    <col width="10" customWidth="1" min="5" max="5"/>
    <col width="14" customWidth="1" min="6" max="6"/>
    <col width="11" customWidth="1" min="7" max="7"/>
    <col width="42" customWidth="1" min="8" max="8"/>
    <col width="10" customWidth="1" min="9" max="9"/>
  </cols>
  <sheetData>
    <row r="1" ht="24" customHeight="1">
      <c r="A1" s="16" t="inlineStr">
        <is>
          <t>ID</t>
        </is>
      </c>
      <c r="B1" s="16" t="inlineStr">
        <is>
          <t>Tipo</t>
        </is>
      </c>
      <c r="C1" s="16" t="inlineStr">
        <is>
          <t>Tema</t>
        </is>
      </c>
      <c r="D1" s="16" t="inlineStr">
        <is>
          <t>Descripción</t>
        </is>
      </c>
      <c r="E1" s="16" t="inlineStr">
        <is>
          <t>Impacto</t>
        </is>
      </c>
      <c r="F1" s="16" t="inlineStr">
        <is>
          <t>Probabilidad</t>
        </is>
      </c>
      <c r="G1" s="16" t="inlineStr">
        <is>
          <t>Owner</t>
        </is>
      </c>
      <c r="H1" s="16" t="inlineStr">
        <is>
          <t>Mitigación</t>
        </is>
      </c>
      <c r="I1" s="16" t="inlineStr">
        <is>
          <t>Estado</t>
        </is>
      </c>
    </row>
    <row r="2" ht="24" customHeight="1">
      <c r="A2" s="15" t="inlineStr">
        <is>
          <t>RAID-01</t>
        </is>
      </c>
      <c r="B2" s="15" t="inlineStr">
        <is>
          <t>Risk</t>
        </is>
      </c>
      <c r="C2" s="15" t="inlineStr">
        <is>
          <t>VestFI / licencia</t>
        </is>
      </c>
      <c r="D2" s="15" t="inlineStr">
        <is>
          <t>No usar VestFI como ancla regulada hasta confirmar entidad legal, jurisdicción y estado.</t>
        </is>
      </c>
      <c r="E2" s="15" t="inlineStr">
        <is>
          <t>High</t>
        </is>
      </c>
      <c r="F2" s="15" t="inlineStr">
        <is>
          <t>High</t>
        </is>
      </c>
      <c r="G2" s="15" t="inlineStr">
        <is>
          <t>PO/Legal</t>
        </is>
      </c>
      <c r="H2" s="15" t="inlineStr">
        <is>
          <t>Pedir nombre legal, registro y rol exacto antes de pitch.</t>
        </is>
      </c>
      <c r="I2" s="15" t="inlineStr">
        <is>
          <t>Open</t>
        </is>
      </c>
    </row>
    <row r="3" ht="24" customHeight="1">
      <c r="A3" s="15" t="inlineStr">
        <is>
          <t>RAID-02</t>
        </is>
      </c>
      <c r="B3" s="15" t="inlineStr">
        <is>
          <t>Risk</t>
        </is>
      </c>
      <c r="C3" s="15" t="inlineStr">
        <is>
          <t>IFPE sponsor</t>
        </is>
      </c>
      <c r="D3" s="15" t="inlineStr">
        <is>
          <t>Sin sponsor/aliado regulado la wallet real en México queda limitada.</t>
        </is>
      </c>
      <c r="E3" s="15" t="inlineStr">
        <is>
          <t>High</t>
        </is>
      </c>
      <c r="F3" s="15" t="inlineStr">
        <is>
          <t>High</t>
        </is>
      </c>
      <c r="G3" s="15" t="inlineStr">
        <is>
          <t>PO/Legal</t>
        </is>
      </c>
      <c r="H3" s="15" t="inlineStr">
        <is>
          <t>Hacer discovery con STP/aliado IFPE y ajustar claims.</t>
        </is>
      </c>
      <c r="I3" s="15" t="inlineStr">
        <is>
          <t>Open</t>
        </is>
      </c>
    </row>
    <row r="4" ht="24" customHeight="1">
      <c r="A4" s="15" t="inlineStr">
        <is>
          <t>RAID-03</t>
        </is>
      </c>
      <c r="B4" s="15" t="inlineStr">
        <is>
          <t>Assumption</t>
        </is>
      </c>
      <c r="C4" s="15" t="inlineStr">
        <is>
          <t>tastytrade sandbox</t>
        </is>
      </c>
      <c r="D4" s="15" t="inlineStr">
        <is>
          <t>Se asume que el sandbox es suficiente para demo técnica inicial.</t>
        </is>
      </c>
      <c r="E4" s="15" t="inlineStr">
        <is>
          <t>Medium</t>
        </is>
      </c>
      <c r="F4" s="15" t="inlineStr">
        <is>
          <t>Medium</t>
        </is>
      </c>
      <c r="G4" s="15" t="inlineStr">
        <is>
          <t>Tech Lead</t>
        </is>
      </c>
      <c r="H4" s="15" t="inlineStr">
        <is>
          <t>Preparar mock propio por si el sandbox se cae.</t>
        </is>
      </c>
      <c r="I4" s="15" t="inlineStr">
        <is>
          <t>Open</t>
        </is>
      </c>
    </row>
    <row r="5" ht="24" customHeight="1">
      <c r="A5" s="15" t="inlineStr">
        <is>
          <t>RAID-04</t>
        </is>
      </c>
      <c r="B5" s="15" t="inlineStr">
        <is>
          <t>Issue</t>
        </is>
      </c>
      <c r="C5" s="15" t="inlineStr">
        <is>
          <t>Claims de marketing</t>
        </is>
      </c>
      <c r="D5" s="15" t="inlineStr">
        <is>
          <t>Riesgo de vender 'banco' o 'rendimiento sobre saldo'.</t>
        </is>
      </c>
      <c r="E5" s="15" t="inlineStr">
        <is>
          <t>High</t>
        </is>
      </c>
      <c r="F5" s="15" t="inlineStr">
        <is>
          <t>Medium</t>
        </is>
      </c>
      <c r="G5" s="15" t="inlineStr">
        <is>
          <t>PO</t>
        </is>
      </c>
      <c r="H5" s="15" t="inlineStr">
        <is>
          <t>Gate de claims y deck revisado legalmente.</t>
        </is>
      </c>
      <c r="I5" s="15" t="inlineStr">
        <is>
          <t>Open</t>
        </is>
      </c>
    </row>
    <row r="6" ht="24" customHeight="1">
      <c r="A6" s="15" t="inlineStr">
        <is>
          <t>RAID-05</t>
        </is>
      </c>
      <c r="B6" s="15" t="inlineStr">
        <is>
          <t>Dependency</t>
        </is>
      </c>
      <c r="C6" s="15" t="inlineStr">
        <is>
          <t>WhatsApp provider</t>
        </is>
      </c>
      <c r="D6" s="15" t="inlineStr">
        <is>
          <t>Sin proveedor/número/configuración no vive el canal principal VIP.</t>
        </is>
      </c>
      <c r="E6" s="15" t="inlineStr">
        <is>
          <t>High</t>
        </is>
      </c>
      <c r="F6" s="15" t="inlineStr">
        <is>
          <t>Medium</t>
        </is>
      </c>
      <c r="G6" s="15" t="inlineStr">
        <is>
          <t>Backend</t>
        </is>
      </c>
      <c r="H6" s="15" t="inlineStr">
        <is>
          <t>Cerrar proveedor y webhook en Sprint 1.</t>
        </is>
      </c>
      <c r="I6" s="15" t="inlineStr">
        <is>
          <t>Open</t>
        </is>
      </c>
    </row>
    <row r="7" ht="24" customHeight="1">
      <c r="A7" s="15" t="inlineStr">
        <is>
          <t>RAID-06</t>
        </is>
      </c>
      <c r="B7" s="15" t="inlineStr">
        <is>
          <t>Dependency</t>
        </is>
      </c>
      <c r="C7" s="15" t="inlineStr">
        <is>
          <t>Datos demo premium</t>
        </is>
      </c>
      <c r="D7" s="15" t="inlineStr">
        <is>
          <t>Pantallas vacías destruyen el pitch.</t>
        </is>
      </c>
      <c r="E7" s="15" t="inlineStr">
        <is>
          <t>Medium</t>
        </is>
      </c>
      <c r="F7" s="15" t="inlineStr">
        <is>
          <t>High</t>
        </is>
      </c>
      <c r="G7" s="15" t="inlineStr">
        <is>
          <t>PO</t>
        </is>
      </c>
      <c r="H7" s="15" t="inlineStr">
        <is>
          <t>Paquete de datos demo antes de QA final.</t>
        </is>
      </c>
      <c r="I7" s="15" t="inlineStr">
        <is>
          <t>Open</t>
        </is>
      </c>
    </row>
    <row r="8" ht="24" customHeight="1">
      <c r="A8" s="15" t="inlineStr">
        <is>
          <t>RAID-07</t>
        </is>
      </c>
      <c r="B8" s="15" t="inlineStr">
        <is>
          <t>Risk</t>
        </is>
      </c>
      <c r="C8" s="15" t="inlineStr">
        <is>
          <t>Scope creep health</t>
        </is>
      </c>
      <c r="D8" s="15" t="inlineStr">
        <is>
          <t>Meter health en Fase 1 enturbia foco y regulación.</t>
        </is>
      </c>
      <c r="E8" s="15" t="inlineStr">
        <is>
          <t>Medium</t>
        </is>
      </c>
      <c r="F8" s="15" t="inlineStr">
        <is>
          <t>Medium</t>
        </is>
      </c>
      <c r="G8" s="15" t="inlineStr">
        <is>
          <t>PO</t>
        </is>
      </c>
      <c r="H8" s="15" t="inlineStr">
        <is>
          <t>Backlog separado y guardrail documental.</t>
        </is>
      </c>
      <c r="I8" s="15" t="inlineStr">
        <is>
          <t>Open</t>
        </is>
      </c>
    </row>
    <row r="9" ht="24" customHeight="1">
      <c r="A9" s="15" t="inlineStr">
        <is>
          <t>RAID-08</t>
        </is>
      </c>
      <c r="B9" s="15" t="inlineStr">
        <is>
          <t>Issue</t>
        </is>
      </c>
      <c r="C9" s="15" t="inlineStr">
        <is>
          <t>Vertical objetivo</t>
        </is>
      </c>
      <c r="D9" s="15" t="inlineStr">
        <is>
          <t>No está cerrado si el primer despliegue va a hospital, agencia o family office.</t>
        </is>
      </c>
      <c r="E9" s="15" t="inlineStr">
        <is>
          <t>Medium</t>
        </is>
      </c>
      <c r="F9" s="15" t="inlineStr">
        <is>
          <t>Medium</t>
        </is>
      </c>
      <c r="G9" s="15" t="inlineStr">
        <is>
          <t>Sponsor</t>
        </is>
      </c>
      <c r="H9" s="15" t="inlineStr">
        <is>
          <t>Decidir antes del piloto.</t>
        </is>
      </c>
      <c r="I9" s="15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10" customWidth="1" min="3" max="3"/>
  </cols>
  <sheetData>
    <row r="1" ht="24" customHeight="1">
      <c r="A1" s="16" t="inlineStr">
        <is>
          <t>Definition of Ready</t>
        </is>
      </c>
      <c r="B1" s="12" t="n"/>
      <c r="C1" s="13" t="n"/>
    </row>
    <row r="2" ht="24" customHeight="1">
      <c r="A2" s="17" t="inlineStr">
        <is>
          <t>Historia entendible</t>
        </is>
      </c>
      <c r="B2" s="17" t="inlineStr">
        <is>
          <t>La historia tiene objetivo de negocio claro y actor definido.</t>
        </is>
      </c>
      <c r="C2" s="17" t="n"/>
    </row>
    <row r="3" ht="24" customHeight="1">
      <c r="A3" s="17" t="inlineStr">
        <is>
          <t>Criterios claros</t>
        </is>
      </c>
      <c r="B3" s="17" t="inlineStr">
        <is>
          <t>Los criterios de aceptación son verificables.</t>
        </is>
      </c>
      <c r="C3" s="17" t="n"/>
    </row>
    <row r="4" ht="24" customHeight="1">
      <c r="A4" s="17" t="inlineStr">
        <is>
          <t>Dependencias visibles</t>
        </is>
      </c>
      <c r="B4" s="17" t="inlineStr">
        <is>
          <t>Se conoce si requiere proveedor, legal, datos demo o diseño.</t>
        </is>
      </c>
      <c r="C4" s="17" t="n"/>
    </row>
    <row r="5" ht="24" customHeight="1">
      <c r="A5" s="17" t="inlineStr">
        <is>
          <t>Diseño mínimo</t>
        </is>
      </c>
      <c r="B5" s="17" t="inlineStr">
        <is>
          <t>Existe wireframe o al menos recorrido de pantalla/canal.</t>
        </is>
      </c>
      <c r="C5" s="17" t="n"/>
    </row>
    <row r="6" ht="24" customHeight="1">
      <c r="A6" s="17" t="inlineStr">
        <is>
          <t>Riesgo clasificado</t>
        </is>
      </c>
      <c r="B6" s="17" t="inlineStr">
        <is>
          <t>El riesgo se marcó en backlog y RAID.</t>
        </is>
      </c>
      <c r="C6" s="17" t="n"/>
    </row>
    <row r="7" ht="24" customHeight="1">
      <c r="A7" s="17" t="inlineStr">
        <is>
          <t>Claim revisado</t>
        </is>
      </c>
      <c r="B7" s="17" t="inlineStr">
        <is>
          <t>Si toca dinero/inversión, pasó filtro de compliance.</t>
        </is>
      </c>
      <c r="C7" s="17" t="n"/>
    </row>
    <row r="8" ht="24" customHeight="1"/>
    <row r="9" ht="24" customHeight="1"/>
    <row r="10" ht="24" customHeight="1">
      <c r="A10" s="18" t="inlineStr">
        <is>
          <t>Definition of Done</t>
        </is>
      </c>
      <c r="B10" s="12" t="n"/>
      <c r="C10" s="13" t="n"/>
    </row>
    <row r="11" ht="24" customHeight="1">
      <c r="A11" s="17" t="inlineStr">
        <is>
          <t>Funciona</t>
        </is>
      </c>
      <c r="B11" s="17" t="inlineStr">
        <is>
          <t>La historia se puede ejecutar en recorrido feliz.</t>
        </is>
      </c>
      <c r="C11" s="17" t="n"/>
    </row>
    <row r="12" ht="24" customHeight="1">
      <c r="A12" s="17" t="inlineStr">
        <is>
          <t>Validada</t>
        </is>
      </c>
      <c r="B12" s="17" t="inlineStr">
        <is>
          <t>QA o revisión funcional completada.</t>
        </is>
      </c>
      <c r="C12" s="17" t="n"/>
    </row>
    <row r="13" ht="24" customHeight="1">
      <c r="A13" s="17" t="inlineStr">
        <is>
          <t>Auditada</t>
        </is>
      </c>
      <c r="B13" s="17" t="inlineStr">
        <is>
          <t>Si mueve dinero, approvals o comandos, generó evento de auditoría.</t>
        </is>
      </c>
      <c r="C13" s="17" t="n"/>
    </row>
    <row r="14" ht="24" customHeight="1">
      <c r="A14" s="17" t="inlineStr">
        <is>
          <t>Documentada</t>
        </is>
      </c>
      <c r="B14" s="17" t="inlineStr">
        <is>
          <t>Se actualizó endpoint, regla o runbook aplicable.</t>
        </is>
      </c>
      <c r="C14" s="17" t="n"/>
    </row>
    <row r="15" ht="24" customHeight="1">
      <c r="A15" s="17" t="inlineStr">
        <is>
          <t>Demoable</t>
        </is>
      </c>
      <c r="B15" s="17" t="inlineStr">
        <is>
          <t>La historia no rompe la demo y sabe explicar su valor.</t>
        </is>
      </c>
      <c r="C15" s="17" t="n"/>
    </row>
    <row r="16" ht="24" customHeight="1">
      <c r="A16" s="17" t="inlineStr">
        <is>
          <t>Segura</t>
        </is>
      </c>
      <c r="B16" s="17" t="inlineStr">
        <is>
          <t>No abre claims o permisos peligrosos.</t>
        </is>
      </c>
      <c r="C16" s="17" t="n"/>
    </row>
  </sheetData>
  <mergeCells count="14">
    <mergeCell ref="A10:C10"/>
    <mergeCell ref="B13:C13"/>
    <mergeCell ref="B6:C6"/>
    <mergeCell ref="B2:C2"/>
    <mergeCell ref="B16:C16"/>
    <mergeCell ref="B15:C15"/>
    <mergeCell ref="B7:C7"/>
    <mergeCell ref="A1:C1"/>
    <mergeCell ref="B11:C11"/>
    <mergeCell ref="B3:C3"/>
    <mergeCell ref="B5:C5"/>
    <mergeCell ref="B14:C14"/>
    <mergeCell ref="B4:C4"/>
    <mergeCell ref="B12:C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27" customWidth="1" min="4" max="4"/>
    <col width="42" customWidth="1" min="5" max="5"/>
    <col width="29" customWidth="1" min="6" max="6"/>
  </cols>
  <sheetData>
    <row r="1" ht="24" customHeight="1">
      <c r="A1" s="16" t="inlineStr">
        <is>
          <t>Ceremonia</t>
        </is>
      </c>
      <c r="B1" s="16" t="inlineStr">
        <is>
          <t>Frecuencia</t>
        </is>
      </c>
      <c r="C1" s="16" t="inlineStr">
        <is>
          <t>Duración</t>
        </is>
      </c>
      <c r="D1" s="16" t="inlineStr">
        <is>
          <t>Participantes</t>
        </is>
      </c>
      <c r="E1" s="16" t="inlineStr">
        <is>
          <t>Objetivo</t>
        </is>
      </c>
      <c r="F1" s="16" t="inlineStr">
        <is>
          <t>Output</t>
        </is>
      </c>
    </row>
    <row r="2" ht="24" customHeight="1">
      <c r="A2" s="15" t="inlineStr">
        <is>
          <t>Sprint Planning</t>
        </is>
      </c>
      <c r="B2" s="15" t="inlineStr">
        <is>
          <t>Por sprint</t>
        </is>
      </c>
      <c r="C2" s="15" t="inlineStr">
        <is>
          <t>2 h</t>
        </is>
      </c>
      <c r="D2" s="15" t="inlineStr">
        <is>
          <t>PO, SM, Tech Lead, equipo</t>
        </is>
      </c>
      <c r="E2" s="15" t="inlineStr">
        <is>
          <t>Elegir historias y confirmar objetivo</t>
        </is>
      </c>
      <c r="F2" s="15" t="inlineStr">
        <is>
          <t>Sprint backlog comprometido</t>
        </is>
      </c>
    </row>
    <row r="3" ht="24" customHeight="1">
      <c r="A3" s="15" t="inlineStr">
        <is>
          <t>Daily</t>
        </is>
      </c>
      <c r="B3" s="15" t="inlineStr">
        <is>
          <t>Diaria</t>
        </is>
      </c>
      <c r="C3" s="15" t="inlineStr">
        <is>
          <t>15 min</t>
        </is>
      </c>
      <c r="D3" s="15" t="inlineStr">
        <is>
          <t>Equipo core</t>
        </is>
      </c>
      <c r="E3" s="15" t="inlineStr">
        <is>
          <t>Sincronizar, bloquear riesgos, reordenar</t>
        </is>
      </c>
      <c r="F3" s="15" t="inlineStr">
        <is>
          <t>Bloqueos visibles</t>
        </is>
      </c>
    </row>
    <row r="4" ht="24" customHeight="1">
      <c r="A4" s="15" t="inlineStr">
        <is>
          <t>Backlog Refinement</t>
        </is>
      </c>
      <c r="B4" s="15" t="inlineStr">
        <is>
          <t>2 veces por sprint</t>
        </is>
      </c>
      <c r="C4" s="15" t="inlineStr">
        <is>
          <t>60 min</t>
        </is>
      </c>
      <c r="D4" s="15" t="inlineStr">
        <is>
          <t>PO, SM, leads</t>
        </is>
      </c>
      <c r="E4" s="15" t="inlineStr">
        <is>
          <t>Afinar historias próximas</t>
        </is>
      </c>
      <c r="F4" s="15" t="inlineStr">
        <is>
          <t>Backlog Ready</t>
        </is>
      </c>
    </row>
    <row r="5" ht="24" customHeight="1">
      <c r="A5" s="15" t="inlineStr">
        <is>
          <t>Compliance check</t>
        </is>
      </c>
      <c r="B5" s="15" t="inlineStr">
        <is>
          <t>Semanal</t>
        </is>
      </c>
      <c r="C5" s="15" t="inlineStr">
        <is>
          <t>30 min</t>
        </is>
      </c>
      <c r="D5" s="15" t="inlineStr">
        <is>
          <t>PO, Legal, Tech Lead</t>
        </is>
      </c>
      <c r="E5" s="15" t="inlineStr">
        <is>
          <t>Revisar claims y dependencias regulatorias</t>
        </is>
      </c>
      <c r="F5" s="15" t="inlineStr">
        <is>
          <t>Lista de sí/no</t>
        </is>
      </c>
    </row>
    <row r="6" ht="24" customHeight="1">
      <c r="A6" s="15" t="inlineStr">
        <is>
          <t>Demo / Review</t>
        </is>
      </c>
      <c r="B6" s="15" t="inlineStr">
        <is>
          <t>Fin de sprint</t>
        </is>
      </c>
      <c r="C6" s="15" t="inlineStr">
        <is>
          <t>45 min</t>
        </is>
      </c>
      <c r="D6" s="15" t="inlineStr">
        <is>
          <t>Equipo + stakeholders</t>
        </is>
      </c>
      <c r="E6" s="15" t="inlineStr">
        <is>
          <t>Mostrar flujos reales, no humo</t>
        </is>
      </c>
      <c r="F6" s="15" t="inlineStr">
        <is>
          <t>Feedback accionable</t>
        </is>
      </c>
    </row>
    <row r="7" ht="24" customHeight="1">
      <c r="A7" s="15" t="inlineStr">
        <is>
          <t>Retro</t>
        </is>
      </c>
      <c r="B7" s="15" t="inlineStr">
        <is>
          <t>Fin de sprint</t>
        </is>
      </c>
      <c r="C7" s="15" t="inlineStr">
        <is>
          <t>45 min</t>
        </is>
      </c>
      <c r="D7" s="15" t="inlineStr">
        <is>
          <t>Equipo</t>
        </is>
      </c>
      <c r="E7" s="15" t="inlineStr">
        <is>
          <t>Mejorar colaboración y delivery</t>
        </is>
      </c>
      <c r="F7" s="15" t="inlineStr">
        <is>
          <t>3 acciones concretas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2" customWidth="1" min="3" max="3"/>
    <col width="42" customWidth="1" min="4" max="4"/>
    <col width="24" customWidth="1" min="5" max="5"/>
    <col width="17" customWidth="1" min="6" max="6"/>
  </cols>
  <sheetData>
    <row r="1" ht="24" customHeight="1">
      <c r="A1" s="16" t="inlineStr">
        <is>
          <t>Orden</t>
        </is>
      </c>
      <c r="B1" s="16" t="inlineStr">
        <is>
          <t>Artefacto PDF</t>
        </is>
      </c>
      <c r="C1" s="16" t="inlineStr">
        <is>
          <t>Objetivo</t>
        </is>
      </c>
      <c r="D1" s="16" t="inlineStr">
        <is>
          <t>Contenido mínimo</t>
        </is>
      </c>
      <c r="E1" s="16" t="inlineStr">
        <is>
          <t>Owner sugerido</t>
        </is>
      </c>
      <c r="F1" s="16" t="inlineStr">
        <is>
          <t>Momento</t>
        </is>
      </c>
    </row>
    <row r="2" ht="24" customHeight="1">
      <c r="A2" s="15" t="n">
        <v>1</v>
      </c>
      <c r="B2" s="15" t="inlineStr">
        <is>
          <t>PRD ejecutivo-técnico</t>
        </is>
      </c>
      <c r="C2" s="15" t="inlineStr">
        <is>
          <t>Cerrar alcance funcional y operacional</t>
        </is>
      </c>
      <c r="D2" s="15" t="inlineStr">
        <is>
          <t>Actores, jobs-to-be-done, módulos, reglas, alcance por fase, métricas, riesgos</t>
        </is>
      </c>
      <c r="E2" s="15" t="inlineStr">
        <is>
          <t>PO + Tech Lead</t>
        </is>
      </c>
      <c r="F2" s="15" t="inlineStr">
        <is>
          <t>Inmediato</t>
        </is>
      </c>
    </row>
    <row r="3" ht="24" customHeight="1">
      <c r="A3" s="15" t="n">
        <v>2</v>
      </c>
      <c r="B3" s="15" t="inlineStr">
        <is>
          <t>Arquitectura funcional + técnica</t>
        </is>
      </c>
      <c r="C3" s="15" t="inlineStr">
        <is>
          <t>Bajar la visión a capas y decisiones técnicas</t>
        </is>
      </c>
      <c r="D3" s="15" t="inlineStr">
        <is>
          <t>Contexto, capas, dominios, adaptadores, seguridad, secuencias, tradeoffs</t>
        </is>
      </c>
      <c r="E3" s="15" t="inlineStr">
        <is>
          <t>Tech Lead</t>
        </is>
      </c>
      <c r="F3" s="15" t="inlineStr">
        <is>
          <t>Inmediato</t>
        </is>
      </c>
    </row>
    <row r="4" ht="24" customHeight="1">
      <c r="A4" s="15" t="n">
        <v>3</v>
      </c>
      <c r="B4" s="15" t="inlineStr">
        <is>
          <t>API / contratos</t>
        </is>
      </c>
      <c r="C4" s="15" t="inlineStr">
        <is>
          <t>Acelerar frontend, QA e integraciones</t>
        </is>
      </c>
      <c r="D4" s="15" t="inlineStr">
        <is>
          <t>Endpoints, payloads, auth, errores, webhooks, ejemplos</t>
        </is>
      </c>
      <c r="E4" s="15" t="inlineStr">
        <is>
          <t>Backend Lead</t>
        </is>
      </c>
      <c r="F4" s="15" t="inlineStr">
        <is>
          <t>Sprint 0-1</t>
        </is>
      </c>
    </row>
    <row r="5" ht="24" customHeight="1">
      <c r="A5" s="15" t="n">
        <v>4</v>
      </c>
      <c r="B5" s="15" t="inlineStr">
        <is>
          <t>UX flows / wireflows</t>
        </is>
      </c>
      <c r="C5" s="15" t="inlineStr">
        <is>
          <t>Dejar recorribles los 6 flujos MVP</t>
        </is>
      </c>
      <c r="D5" s="15" t="inlineStr">
        <is>
          <t>Pantalla/canal por paso, estados, edge cases, mensajes</t>
        </is>
      </c>
      <c r="E5" s="15" t="inlineStr">
        <is>
          <t>Product Design</t>
        </is>
      </c>
      <c r="F5" s="15" t="inlineStr">
        <is>
          <t>Sprint 0-1</t>
        </is>
      </c>
    </row>
    <row r="6" ht="24" customHeight="1">
      <c r="A6" s="15" t="n">
        <v>5</v>
      </c>
      <c r="B6" s="15" t="inlineStr">
        <is>
          <t>Compliance &amp; guardrails</t>
        </is>
      </c>
      <c r="C6" s="15" t="inlineStr">
        <is>
          <t>Evitar claims y arquitectura comercial tóxica</t>
        </is>
      </c>
      <c r="D6" s="15" t="inlineStr">
        <is>
          <t>Qué sí decir, qué no decir, entidades, sponsor, disclaimers, riesgos</t>
        </is>
      </c>
      <c r="E6" s="15" t="inlineStr">
        <is>
          <t>PO + Legal</t>
        </is>
      </c>
      <c r="F6" s="15" t="inlineStr">
        <is>
          <t>Inmediato</t>
        </is>
      </c>
    </row>
    <row r="7" ht="24" customHeight="1">
      <c r="A7" s="15" t="n">
        <v>6</v>
      </c>
      <c r="B7" s="15" t="inlineStr">
        <is>
          <t>Plan QA + UAT</t>
        </is>
      </c>
      <c r="C7" s="15" t="inlineStr">
        <is>
          <t>Reducir caos pre-demo/piloto</t>
        </is>
      </c>
      <c r="D7" s="15" t="inlineStr">
        <is>
          <t>Casos smoke, checklist, casos críticos, datos demo, criterios de salida</t>
        </is>
      </c>
      <c r="E7" s="15" t="inlineStr">
        <is>
          <t>QA</t>
        </is>
      </c>
      <c r="F7" s="15" t="inlineStr">
        <is>
          <t>Sprint 1-2</t>
        </is>
      </c>
    </row>
    <row r="8" ht="24" customHeight="1">
      <c r="A8" s="15" t="n">
        <v>7</v>
      </c>
      <c r="B8" s="15" t="inlineStr">
        <is>
          <t>Runbook demo / piloto</t>
        </is>
      </c>
      <c r="C8" s="15" t="inlineStr">
        <is>
          <t>Hacer repetible la demostración y el piloto</t>
        </is>
      </c>
      <c r="D8" s="15" t="inlineStr">
        <is>
          <t>Setup, reset, credenciales, pasos, troubleshooting, handoff</t>
        </is>
      </c>
      <c r="E8" s="15" t="inlineStr">
        <is>
          <t>SM + DevOps</t>
        </is>
      </c>
      <c r="F8" s="15" t="inlineStr">
        <is>
          <t>Sprint 2</t>
        </is>
      </c>
    </row>
    <row r="9" ht="24" customHeight="1">
      <c r="A9" s="15" t="n">
        <v>8</v>
      </c>
      <c r="B9" s="15" t="inlineStr">
        <is>
          <t>Security / data / audit</t>
        </is>
      </c>
      <c r="C9" s="15" t="inlineStr">
        <is>
          <t>Blindar operación y trazabilidad</t>
        </is>
      </c>
      <c r="D9" s="15" t="inlineStr">
        <is>
          <t>RBAC, eventos auditables, logs, retención, secretos, incidentes</t>
        </is>
      </c>
      <c r="E9" s="15" t="inlineStr">
        <is>
          <t>Tech Lead + Compliance</t>
        </is>
      </c>
      <c r="F9" s="15" t="inlineStr">
        <is>
          <t>Sprint 1-2</t>
        </is>
      </c>
    </row>
    <row r="10" ht="24" customHeight="1">
      <c r="A10" s="15" t="n">
        <v>9</v>
      </c>
      <c r="B10" s="15" t="inlineStr">
        <is>
          <t>Pitch deck ejecutivo</t>
        </is>
      </c>
      <c r="C10" s="15" t="inlineStr">
        <is>
          <t>Vender con el cuello fuera del cuchillo regulatorio</t>
        </is>
      </c>
      <c r="D10" s="15" t="inlineStr">
        <is>
          <t>Problema, propuesta, demo, arquitectura, roadmap, disclaimers</t>
        </is>
      </c>
      <c r="E10" s="15" t="inlineStr">
        <is>
          <t>PO</t>
        </is>
      </c>
      <c r="F10" s="15" t="inlineStr">
        <is>
          <t>Mañana / ventas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2026-03-18T01:43:01Z</dcterms:created>
  <dcterms:modified xmlns:dcterms="http://purl.org/dc/terms/" xmlns:xsi="http://www.w3.org/2001/XMLSchema-instance" xsi:type="dcterms:W3CDTF">2026-03-18T01:43:01Z</dcterms:modified>
</cp:coreProperties>
</file>